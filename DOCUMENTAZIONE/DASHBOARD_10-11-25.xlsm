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bertin153-my.sharepoint.com/personal/francesco_studio-bertin_it/Documents/STUDIOBERTIN/SVILUPPO/OFF-TICKET_UT/DOCUMENTAZIONE/"/>
    </mc:Choice>
  </mc:AlternateContent>
  <xr:revisionPtr revIDLastSave="50" documentId="8_{029C4A2F-DE4E-4DED-9A11-0723467523B9}" xr6:coauthVersionLast="47" xr6:coauthVersionMax="47" xr10:uidLastSave="{3BC268DD-9C2F-4CBF-888B-3EEA2E104058}"/>
  <bookViews>
    <workbookView xWindow="-120" yWindow="-120" windowWidth="29040" windowHeight="15720" tabRatio="336" xr2:uid="{00000000-000D-0000-FFFF-FFFF00000000}"/>
  </bookViews>
  <sheets>
    <sheet name="DASHBOARD" sheetId="1" r:id="rId1"/>
    <sheet name="Foglio2" sheetId="2" r:id="rId2"/>
  </sheets>
  <definedNames>
    <definedName name="_xlnm.Print_Area" localSheetId="0">DASHBOARD!$A$1:$G$202</definedName>
    <definedName name="CLIENTI">#REF!</definedName>
    <definedName name="STATO">Foglio2!$A$2:$A$15</definedName>
    <definedName name="TIPOLOGIA">Foglio2!$I$2:$I$21</definedName>
    <definedName name="_xlnm.Print_Titles" localSheetId="0">DASHBOARD!$1:$1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02" i="1" l="1"/>
  <c r="N201" i="1"/>
  <c r="N200" i="1"/>
  <c r="N199" i="1"/>
  <c r="N198" i="1"/>
  <c r="N197" i="1"/>
  <c r="N193" i="1"/>
  <c r="N192" i="1"/>
  <c r="N190" i="1"/>
  <c r="N187" i="1"/>
  <c r="N186" i="1"/>
  <c r="N185" i="1"/>
  <c r="N183" i="1"/>
  <c r="N180" i="1"/>
  <c r="N179" i="1"/>
  <c r="N178" i="1"/>
  <c r="N176" i="1"/>
  <c r="N175" i="1"/>
  <c r="N174" i="1"/>
  <c r="N173" i="1"/>
  <c r="N171" i="1"/>
  <c r="N169" i="1"/>
  <c r="N168" i="1"/>
  <c r="N167" i="1"/>
  <c r="N166" i="1"/>
  <c r="N165" i="1"/>
  <c r="N164" i="1"/>
  <c r="N161" i="1"/>
  <c r="N160" i="1"/>
  <c r="N157" i="1"/>
  <c r="N155" i="1"/>
  <c r="N154" i="1"/>
  <c r="N153" i="1"/>
  <c r="N150" i="1"/>
  <c r="N148" i="1"/>
  <c r="N146" i="1"/>
  <c r="N145" i="1"/>
  <c r="N144" i="1"/>
  <c r="N142" i="1"/>
  <c r="N139" i="1"/>
  <c r="N137" i="1"/>
  <c r="N135" i="1"/>
  <c r="N133" i="1"/>
  <c r="N131" i="1"/>
  <c r="N130" i="1"/>
  <c r="N129" i="1"/>
  <c r="N128" i="1"/>
  <c r="N127" i="1"/>
  <c r="N125" i="1"/>
  <c r="N123" i="1"/>
  <c r="N122" i="1"/>
  <c r="N120" i="1"/>
  <c r="N119" i="1"/>
  <c r="N114" i="1"/>
  <c r="N113" i="1"/>
  <c r="N111" i="1"/>
  <c r="N110" i="1"/>
  <c r="N108" i="1"/>
  <c r="N107" i="1"/>
  <c r="N106" i="1"/>
  <c r="N93" i="1"/>
  <c r="N92" i="1"/>
  <c r="N91" i="1"/>
  <c r="N84" i="1"/>
  <c r="N83" i="1"/>
  <c r="N72" i="1"/>
  <c r="N66" i="1"/>
  <c r="N65" i="1"/>
  <c r="N64" i="1"/>
  <c r="N61" i="1"/>
  <c r="N60" i="1"/>
  <c r="N59" i="1"/>
  <c r="N58" i="1"/>
  <c r="N57" i="1"/>
  <c r="N56" i="1"/>
  <c r="N53" i="1"/>
  <c r="N52" i="1"/>
  <c r="N51" i="1"/>
  <c r="N50" i="1"/>
  <c r="N48" i="1"/>
  <c r="N44" i="1"/>
  <c r="N43" i="1"/>
  <c r="N41" i="1"/>
  <c r="N40" i="1"/>
  <c r="N36" i="1"/>
  <c r="N34" i="1"/>
  <c r="N32" i="1"/>
  <c r="N31" i="1"/>
  <c r="N29" i="1"/>
  <c r="N26" i="1"/>
  <c r="N25" i="1"/>
  <c r="N22" i="1"/>
  <c r="N20" i="1"/>
  <c r="N18" i="1"/>
  <c r="N17" i="1"/>
  <c r="N16" i="1"/>
  <c r="N15" i="1"/>
  <c r="N14" i="1"/>
  <c r="N9" i="1"/>
  <c r="N6" i="1"/>
  <c r="N4" i="1"/>
  <c r="N3" i="1"/>
</calcChain>
</file>

<file path=xl/sharedStrings.xml><?xml version="1.0" encoding="utf-8"?>
<sst xmlns="http://schemas.openxmlformats.org/spreadsheetml/2006/main" count="1102" uniqueCount="344">
  <si>
    <t>CLIENTE</t>
  </si>
  <si>
    <t>STATO</t>
  </si>
  <si>
    <t>SOSPESA</t>
  </si>
  <si>
    <t>COMPLETATO</t>
  </si>
  <si>
    <t>COMPLETATO UTIL</t>
  </si>
  <si>
    <t>OK</t>
  </si>
  <si>
    <t>NON SERVE</t>
  </si>
  <si>
    <t>NOTE</t>
  </si>
  <si>
    <t>NO</t>
  </si>
  <si>
    <t>FATTURARE A</t>
  </si>
  <si>
    <t>OFFICOMP</t>
  </si>
  <si>
    <t>CAC</t>
  </si>
  <si>
    <t>FATTURATO</t>
  </si>
  <si>
    <t>X</t>
  </si>
  <si>
    <t>NEW TECNOCOLOR SRL</t>
  </si>
  <si>
    <t>ESSE 4</t>
  </si>
  <si>
    <t>FATION RAMAJ</t>
  </si>
  <si>
    <t>LUCIA</t>
  </si>
  <si>
    <t>CENTRO DELLA GOMMA</t>
  </si>
  <si>
    <t>TIPO</t>
  </si>
  <si>
    <t>INAIL</t>
  </si>
  <si>
    <t>TIPOLOGIA</t>
  </si>
  <si>
    <t>DISEGNO 2D</t>
  </si>
  <si>
    <t>DISEGNO 3D</t>
  </si>
  <si>
    <t>ANALISI QUALITA'</t>
  </si>
  <si>
    <t>LA TIESSE</t>
  </si>
  <si>
    <t>PRIMA</t>
  </si>
  <si>
    <t>ORA</t>
  </si>
  <si>
    <t>INTEGRAZIONI</t>
  </si>
  <si>
    <t>NESSUNO</t>
  </si>
  <si>
    <t>METALLIKA SRL</t>
  </si>
  <si>
    <t>EOS</t>
  </si>
  <si>
    <t>COMUNICAZIONE DI CESSAZIONE UTILIZZO ATTREZZATURA SERB 500 NM 2003493006</t>
  </si>
  <si>
    <t>DI.CO.</t>
  </si>
  <si>
    <t>ANALISI CONSUMI</t>
  </si>
  <si>
    <t>SVILUPPO GRAFICI</t>
  </si>
  <si>
    <t>ANALISI COMPARATIVA</t>
  </si>
  <si>
    <t>INAIL NO CIVA</t>
  </si>
  <si>
    <t>MABEL</t>
  </si>
  <si>
    <t>AGGIORNAMENTO RELAZIONE</t>
  </si>
  <si>
    <t>KLAIST</t>
  </si>
  <si>
    <t>MBM GROUP</t>
  </si>
  <si>
    <t>PROSIDER TUBI</t>
  </si>
  <si>
    <t>1 - INCARICO RICEVUTO</t>
  </si>
  <si>
    <t>2 - SCHEDA DATI PRONTA</t>
  </si>
  <si>
    <t>3 - MAIL CLIENTE INVIATA</t>
  </si>
  <si>
    <t>4 - DOCUMENTI PRONTI</t>
  </si>
  <si>
    <t>5 - ATTESA FIRMA</t>
  </si>
  <si>
    <t>6 - PRONTA PER CIVA</t>
  </si>
  <si>
    <t>7 - CHIUSA</t>
  </si>
  <si>
    <t>- 1 -
INCARICO RICEVUTO</t>
  </si>
  <si>
    <t>- 2-
SCHEDA DATI PRONTA</t>
  </si>
  <si>
    <t>- 3 -
MAIL CLIENTE INVIATA</t>
  </si>
  <si>
    <t>- 4 -
 DOCUMENTI PRONTI</t>
  </si>
  <si>
    <t>- 5 -
 ATTESA FIRMA</t>
  </si>
  <si>
    <t>- 6 - 
 PRONTA PER CIVA</t>
  </si>
  <si>
    <t>- 7 -
 CHIUSA</t>
  </si>
  <si>
    <t>RICHIESTA LAVORO</t>
  </si>
  <si>
    <t>OFFICINA C.M.R.</t>
  </si>
  <si>
    <t>FALEGNAMERIA ART. GML</t>
  </si>
  <si>
    <t>LAMP ARREDO - VIA NOALESE</t>
  </si>
  <si>
    <t>LAMP ARREDO - VIA GRAMSCI</t>
  </si>
  <si>
    <t>sollecito il 17/02/25</t>
  </si>
  <si>
    <t>NEW PRESS</t>
  </si>
  <si>
    <t>P.E.S.</t>
  </si>
  <si>
    <t>INNOVA</t>
  </si>
  <si>
    <t>SERRAMENTI LISIERO</t>
  </si>
  <si>
    <t>FENIX (TREVIGNANO)</t>
  </si>
  <si>
    <t>CARROZZERIA BATTISTON DI BATTISTON MAURO</t>
  </si>
  <si>
    <t>ASITRON SRL</t>
  </si>
  <si>
    <t>PLASTIGRAFICA- VIA CALZAVARA 2</t>
  </si>
  <si>
    <t>AZ AGRICOLA MIANI DI PONTONI ENZO</t>
  </si>
  <si>
    <t>BELLAN EDILIZIA - SALA 1</t>
  </si>
  <si>
    <t>BELLAN EDILIZIA - SALA 2</t>
  </si>
  <si>
    <t>BOTTEGA SPA</t>
  </si>
  <si>
    <t>BRIDDA VITTORIO DI BRIDDA EMANUELE</t>
  </si>
  <si>
    <t>C&amp;G VENETO LEGNO</t>
  </si>
  <si>
    <t>CODOGNOTTO ITALIA SPA - SALGAREDA</t>
  </si>
  <si>
    <t>COLOR TECH SRL</t>
  </si>
  <si>
    <t>COSMO CARROZZERIA RUBANO</t>
  </si>
  <si>
    <t>C.P. COMPANY SRL</t>
  </si>
  <si>
    <t>TOYOTA MATERIAL ****</t>
  </si>
  <si>
    <t xml:space="preserve">TECNOGOMME </t>
  </si>
  <si>
    <t>MENUZZO CARPENTERIE METALLICHE</t>
  </si>
  <si>
    <t>ELLEDI PLAST (2x)</t>
  </si>
  <si>
    <t>MANFROI ACTIVITY - SALA N.1</t>
  </si>
  <si>
    <t>MANFROI ACTIVITY - SALA N.2</t>
  </si>
  <si>
    <t>FDESTEEL SRL - VIA CAL DEI MOLINI</t>
  </si>
  <si>
    <t>SKYLINE SRL  (50)</t>
  </si>
  <si>
    <t>OFFICINA PIBO DI BOTTAZZO</t>
  </si>
  <si>
    <t>PIAZZA DENIS</t>
  </si>
  <si>
    <t>ROFIX SPA</t>
  </si>
  <si>
    <t>MARGHERITA SPA A SOCIO UNICO</t>
  </si>
  <si>
    <t>GRATUITO</t>
  </si>
  <si>
    <t>ALBERT SRL</t>
  </si>
  <si>
    <t>GRUPPO PADANA ORTOFLORICOLTURA F.LLI</t>
  </si>
  <si>
    <t>LACOFOND SRL</t>
  </si>
  <si>
    <t>LA TREVI MECCANICXA</t>
  </si>
  <si>
    <t>METALI SRL</t>
  </si>
  <si>
    <t xml:space="preserve">MVV </t>
  </si>
  <si>
    <t>NUTI SOC. SEMPLICE</t>
  </si>
  <si>
    <t>OCEV</t>
  </si>
  <si>
    <t>OFFICINE MAZZARO SRL</t>
  </si>
  <si>
    <t>RWP ROOF &amp; WALL PANEL</t>
  </si>
  <si>
    <t>M.R. OFFICINE SNC *****</t>
  </si>
  <si>
    <t>VETRERIA DAL BO' ALDO - SALA PRINCIPALE</t>
  </si>
  <si>
    <t>VETRERIA DAL BO' - SALA SECONDARIA</t>
  </si>
  <si>
    <t>SIRAM SPA</t>
  </si>
  <si>
    <t>SIRIO SRL</t>
  </si>
  <si>
    <t>STIRERIA PIETROBON</t>
  </si>
  <si>
    <t>VEDOVATO S.N.C. DI VEDOVATO FABIO</t>
  </si>
  <si>
    <t>BOTTEON ANTONIO SRL - SEDE 3</t>
  </si>
  <si>
    <t>CALZATURIFICIO ZETTABELL - VIA LIVENZA 7</t>
  </si>
  <si>
    <t>CALZATURIFICIO ZETTABELL -DISMISSIONE  VIA LIVENZA 7</t>
  </si>
  <si>
    <t>OMP</t>
  </si>
  <si>
    <t>EMMEGI CUTTING SRL ***</t>
  </si>
  <si>
    <t>DE ROSSO SRL - VIA SERNAGLIA</t>
  </si>
  <si>
    <t>AM INTERNI S.R.L.S</t>
  </si>
  <si>
    <t>VEMEK  SRL</t>
  </si>
  <si>
    <t>DORIGO UTENSILI SRL ***</t>
  </si>
  <si>
    <t>NTM WHEELS SAS DI FAVARO DIEGO</t>
  </si>
  <si>
    <t>ROGER TECNOLOGY - VIA MATTEI 15/17</t>
  </si>
  <si>
    <t>AGOSTINELLI SRL</t>
  </si>
  <si>
    <t>ALESSANDRINI GRAZIANO SRL CARPENTERIA METALLICA</t>
  </si>
  <si>
    <t>ANODICA TREVIGIANA S.P.A.</t>
  </si>
  <si>
    <t>ARTIGIANA LEGNO S.R.L.</t>
  </si>
  <si>
    <t>BG LIFE SRL</t>
  </si>
  <si>
    <t>BIGAL SRL</t>
  </si>
  <si>
    <t>CAR.MAS SRL</t>
  </si>
  <si>
    <t>CARLIEUKLIMA SRL</t>
  </si>
  <si>
    <t>CANZIAN INERTI SRL</t>
  </si>
  <si>
    <t>OLEV SRL</t>
  </si>
  <si>
    <t>CONF. MAGLIERIA AZZURRA SNC DI PESCE LORETTA &amp; CASARIN ALESSANDRO</t>
  </si>
  <si>
    <t>COLLE SPA</t>
  </si>
  <si>
    <t>COVENTYA SRL  ***</t>
  </si>
  <si>
    <t>TEODOMIRO DAL NEGRO SRL</t>
  </si>
  <si>
    <t>DITRE ITALIA SRL</t>
  </si>
  <si>
    <t>DOMOLIVING S.R.L.</t>
  </si>
  <si>
    <t>ELETTROPLAST SRL</t>
  </si>
  <si>
    <t>GAVA CAV. GIUSEPPE IMBALLAGGI S.R.L.</t>
  </si>
  <si>
    <t>GASPARINI INDUSTRIES SRL**</t>
  </si>
  <si>
    <t>GENERAL FILTER ITALIA SPA</t>
  </si>
  <si>
    <t>GEOTHEMA</t>
  </si>
  <si>
    <t>GMC COMPONENTI E PROFILI S.R.L.</t>
  </si>
  <si>
    <t>GPO SRL - HARLEY-DAVIDSON TREVISO</t>
  </si>
  <si>
    <t>GUIDOLIN SRL</t>
  </si>
  <si>
    <t>HILL SALOTTI SRL UNIPERSONALE**</t>
  </si>
  <si>
    <t>ISKRALEGNO S.R.L.*// *****</t>
  </si>
  <si>
    <t>LA CANTINA PIZZOLATO SRL//</t>
  </si>
  <si>
    <t>LOGISTICA CANZIAN SRL</t>
  </si>
  <si>
    <t>M.A. CYCLING SPORT SRL</t>
  </si>
  <si>
    <t>MECSAV S.R.L.</t>
  </si>
  <si>
    <t>METALCO SRL ***</t>
  </si>
  <si>
    <t>NEVEL SRL</t>
  </si>
  <si>
    <t>NUOVA CARROZZERIA AMERICA S.N.C.</t>
  </si>
  <si>
    <t>PARKEMO ITALIA SRL</t>
  </si>
  <si>
    <t>P.F. SRLS</t>
  </si>
  <si>
    <t>PLASTIGRAF TREVIGIANA S.R.L.</t>
  </si>
  <si>
    <t>PROF S.R.L.</t>
  </si>
  <si>
    <t>RAIPLAST SRL //==</t>
  </si>
  <si>
    <t>LOWA R&amp;D SRL</t>
  </si>
  <si>
    <t>R.M. STAMPATI METALLICI SRL</t>
  </si>
  <si>
    <t>RMG BUSATTO S.R.L.</t>
  </si>
  <si>
    <t>ROSSI GOMMA SRL</t>
  </si>
  <si>
    <t>SERVIZI ECOLOGICI IMEC SRL</t>
  </si>
  <si>
    <t>STEELVAST SRL</t>
  </si>
  <si>
    <t>SGD GROUP SRL</t>
  </si>
  <si>
    <t>S.P.G. MECCANICA SRL A CAPITALE RIDOTTO</t>
  </si>
  <si>
    <t>TI-VU PLAST S.R.L.</t>
  </si>
  <si>
    <t>TREVISOMARESERVIZI S.R.L.</t>
  </si>
  <si>
    <t>VENETO VETRO SRL**</t>
  </si>
  <si>
    <t>ZAFFERANO SRL</t>
  </si>
  <si>
    <t>MET DESIGN - GORGO AL MONTICANO</t>
  </si>
  <si>
    <t>MIMEC SRL</t>
  </si>
  <si>
    <t>TERMOPLAST NORD (x5)</t>
  </si>
  <si>
    <t>CARICATO ANAGRAFICA + INPUT</t>
  </si>
  <si>
    <r>
      <t xml:space="preserve">Inserito intervento sul planner </t>
    </r>
    <r>
      <rPr>
        <sz val="11"/>
        <color rgb="FF7030A0"/>
        <rFont val="Calibri"/>
        <family val="2"/>
        <scheme val="minor"/>
      </rPr>
      <t>CARICATO ANAGRAFICA + INPUT</t>
    </r>
  </si>
  <si>
    <r>
      <t xml:space="preserve">raccolta dati in programma per il 19/02/25 </t>
    </r>
    <r>
      <rPr>
        <sz val="11"/>
        <color rgb="FF7030A0"/>
        <rFont val="Calibri"/>
        <family val="2"/>
        <scheme val="minor"/>
      </rPr>
      <t>AGGIORNATO ANAGRAFICA + INPUT</t>
    </r>
  </si>
  <si>
    <t>AGGIORNATO ANAGARICA + INPUT</t>
  </si>
  <si>
    <t>PESCE EDOARDO Montebello</t>
  </si>
  <si>
    <r>
      <t xml:space="preserve">AGGIORNAMENTO RELAZIONE - </t>
    </r>
    <r>
      <rPr>
        <sz val="11"/>
        <color rgb="FF7030A0"/>
        <rFont val="Calibri"/>
        <family val="2"/>
        <scheme val="minor"/>
      </rPr>
      <t>AGGIORNATO ANAGRAFICA + INPUT</t>
    </r>
  </si>
  <si>
    <t>AGGIORNAMENTO ANAGRAFICA + INPUT</t>
  </si>
  <si>
    <r>
      <t xml:space="preserve">Preparato raccolta dati 20/02/2025 </t>
    </r>
    <r>
      <rPr>
        <sz val="11"/>
        <color rgb="FF7030A0"/>
        <rFont val="Calibri"/>
        <family val="2"/>
        <scheme val="minor"/>
      </rPr>
      <t>AGGIORNATO ANAGRAFICA + INPUT</t>
    </r>
  </si>
  <si>
    <t xml:space="preserve">AGGIORNATO ANAGRAFICA + INPUT </t>
  </si>
  <si>
    <r>
      <t xml:space="preserve">AGGIORNAMENTO PRATICA MAI PRESENTATA - </t>
    </r>
    <r>
      <rPr>
        <sz val="11"/>
        <color rgb="FF7030A0"/>
        <rFont val="Calibri"/>
        <family val="2"/>
        <scheme val="minor"/>
      </rPr>
      <t>AGGIORNAMENTO ANAGRAFICA+ INPUT</t>
    </r>
  </si>
  <si>
    <t>PESCE EDOARDO V.I. SRL Mogliano</t>
  </si>
  <si>
    <t>SACCON GOMME SPA - PORDENONE</t>
  </si>
  <si>
    <r>
      <t xml:space="preserve">Sollecitato/chiamato il cliente varie volte - </t>
    </r>
    <r>
      <rPr>
        <sz val="11"/>
        <color rgb="FF7030A0"/>
        <rFont val="Calibri"/>
        <family val="2"/>
        <scheme val="minor"/>
      </rPr>
      <t>AGGIORNATO ANAGRAFICA + INPUT</t>
    </r>
  </si>
  <si>
    <t>TREVISOMACCHINE  ****</t>
  </si>
  <si>
    <t>10/04/2025 tra qualche mese sposteranno l'impianto</t>
  </si>
  <si>
    <t>GRUPPO INDUSTRIALE TEGOLAIA SRL - MARTELLINATURA</t>
  </si>
  <si>
    <t>01/04/2025 in attesa di sapere cosa fare da Zonta</t>
  </si>
  <si>
    <r>
      <t xml:space="preserve">Sollecitato via mail il 20/02/25+26/03/2025 </t>
    </r>
    <r>
      <rPr>
        <sz val="11"/>
        <color rgb="FF7030A0"/>
        <rFont val="Calibri"/>
        <family val="2"/>
        <scheme val="minor"/>
      </rPr>
      <t>AGGIORNATO ANAGRAFICA + INPUT</t>
    </r>
  </si>
  <si>
    <t>BAGGIO E DE SORDI ** - SALA 3</t>
  </si>
  <si>
    <t xml:space="preserve">DE ROSSO SRL - VIA CAL DELLA MADONNA </t>
  </si>
  <si>
    <t>VERVE SRL - SALA 1</t>
  </si>
  <si>
    <t>SYTEC SRL - VIA INDIPEDENZA 2F</t>
  </si>
  <si>
    <r>
      <t xml:space="preserve">AGGIORNATO ANAGRAFICA - </t>
    </r>
    <r>
      <rPr>
        <sz val="11"/>
        <color rgb="FFFF0000"/>
        <rFont val="Calibri"/>
        <family val="2"/>
        <scheme val="minor"/>
      </rPr>
      <t>MANCA MODELLO COMPRESSORI --&gt; ARIA RESA, MANCA DIAMETRO TUBI, IL VECCHIO SERBATOIO NON RISULTA CHIARAMENTE MESSO FUORI SERVIZIO</t>
    </r>
  </si>
  <si>
    <r>
      <t xml:space="preserve">Inserito intervento sul planner il 17/03/2025 </t>
    </r>
    <r>
      <rPr>
        <sz val="11"/>
        <color rgb="FF7030A0"/>
        <rFont val="Calibri"/>
        <family val="2"/>
        <scheme val="minor"/>
      </rPr>
      <t>AGGIORNATO ANAGRAFICA + INPUT</t>
    </r>
  </si>
  <si>
    <t>Sollecitato in varie date, FATTURARE A FINE APRILE</t>
  </si>
  <si>
    <t>Sollecitato in varie date</t>
  </si>
  <si>
    <t>LUCCHESE VINI *****</t>
  </si>
  <si>
    <t>SARI SRL ****</t>
  </si>
  <si>
    <r>
      <t xml:space="preserve">MANCA SCHEMA IMPIANTO - PRONTO </t>
    </r>
    <r>
      <rPr>
        <sz val="11"/>
        <color rgb="FF7030A0"/>
        <rFont val="Calibri"/>
        <family val="2"/>
        <scheme val="minor"/>
      </rPr>
      <t xml:space="preserve">AGGIORNATO ANAGRAFICA + INPUT </t>
    </r>
  </si>
  <si>
    <t>AGGIORNATO ANAGRAFICA + INPUT DA AGGIUNGERE UN ESSICATORE</t>
  </si>
  <si>
    <t xml:space="preserve">30/04/2025 Manca schema impianto  FARE ATTENZIONE IMPIANTO COLLEGATO CON DITTA SPECTALESS </t>
  </si>
  <si>
    <t>PARCHETTIFICIO FOREST ***</t>
  </si>
  <si>
    <t>Prima di caricare sul CIVA attendere l'ok da Massimiliano (compressore da scollegare)</t>
  </si>
  <si>
    <t>AGGIORNATO ANAGRAFICA + INPUT</t>
  </si>
  <si>
    <t xml:space="preserve"> AGGIORNATO ANAGRAFICA + INPUT</t>
  </si>
  <si>
    <r>
      <t xml:space="preserve"> </t>
    </r>
    <r>
      <rPr>
        <sz val="11"/>
        <color rgb="FF7030A0"/>
        <rFont val="Calibri"/>
        <family val="2"/>
        <scheme val="minor"/>
      </rPr>
      <t>AGGIORNATO ANAGRAFICA + INPUT</t>
    </r>
  </si>
  <si>
    <t>GESTIRE COME UNICO IMPIANTO SALA1 (GIA' DENUNCIATA) + 2+3</t>
  </si>
  <si>
    <t>AGGIORNATO ANAGARFICA + INPUT</t>
  </si>
  <si>
    <t>G.T.S S.R. *******</t>
  </si>
  <si>
    <t>BAGGIO E DE SORDI ** - SALA 2 (x2)</t>
  </si>
  <si>
    <t>L. Sollecitato il 21/05/2025</t>
  </si>
  <si>
    <t>L. sollecitato il 27/11/24+19/03/25 (ci scriverà il cliente )</t>
  </si>
  <si>
    <t>L. Sollecitato anche il 18/10/24</t>
  </si>
  <si>
    <t>L.</t>
  </si>
  <si>
    <t>COTTON TREND SRL*****</t>
  </si>
  <si>
    <t>LOGO SPA** - VIA BOSCALTO 8</t>
  </si>
  <si>
    <t>LOGO SPA** - VIA DELL'INDUSTRIE 24</t>
  </si>
  <si>
    <t>LOGO SPA** - VIA MARCO POLO 8</t>
  </si>
  <si>
    <t>LOGO SPA** - VIA BOSCALTO 27/41</t>
  </si>
  <si>
    <t>LOGO SPA** - VIA GORETTI 88</t>
  </si>
  <si>
    <t>LOGO SPA** - VIA MARCO POLO 12</t>
  </si>
  <si>
    <t>AGGIORNATO ANAGRAFICA</t>
  </si>
  <si>
    <t>ROSSL &amp; DUSO - LANCENIGO</t>
  </si>
  <si>
    <r>
      <t xml:space="preserve">P. 28/04/2025 Preparato scheda raccolta dati </t>
    </r>
    <r>
      <rPr>
        <sz val="11"/>
        <color rgb="FF7030A0"/>
        <rFont val="Calibri"/>
        <family val="2"/>
        <scheme val="minor"/>
      </rPr>
      <t>AGGIORNATO ANAGRAFICA + INPUT</t>
    </r>
  </si>
  <si>
    <t xml:space="preserve">SIKA SRL </t>
  </si>
  <si>
    <t>SORTONI S.RL.</t>
  </si>
  <si>
    <t>Sollecitato il 13/06/2025 L.</t>
  </si>
  <si>
    <t>in attesa attestazione corretta, sollecitata il 13/06/2025 L.</t>
  </si>
  <si>
    <r>
      <t xml:space="preserve">AGGIORNATO ANAGRAFICA </t>
    </r>
    <r>
      <rPr>
        <sz val="11"/>
        <color rgb="FFFF0000"/>
        <rFont val="Calibri"/>
        <family val="2"/>
        <scheme val="minor"/>
      </rPr>
      <t xml:space="preserve"> DA INSERIRIE MODELLO COMPRESSORE C1</t>
    </r>
  </si>
  <si>
    <t>AGGIORNATO ANAGRAIFICA + INPUT</t>
  </si>
  <si>
    <t>VENETA CUCINE SPA* SEDE OLMI</t>
  </si>
  <si>
    <t xml:space="preserve">AGGIORNATO ANAGRAFICA </t>
  </si>
  <si>
    <t>WEERG**** x3</t>
  </si>
  <si>
    <t xml:space="preserve">AUTOFFICINA DIEMME </t>
  </si>
  <si>
    <t>S.I.L.E.A. SOC.IND.LEGNAMI &amp;  AFFINI SRL SEDE SILEA</t>
  </si>
  <si>
    <t>S.I.L.E.A. SOC.IND.LEGNAMI &amp;  AFFINI SRL SEDE MONASTIER</t>
  </si>
  <si>
    <t>LAPO S.R.L. *****</t>
  </si>
  <si>
    <t>AGGIORNATO ANAGRAFICA + INPUT . Manca delega inail</t>
  </si>
  <si>
    <t>VIS INDUSTRIE ALIMENTARI SPA x3</t>
  </si>
  <si>
    <t>ALBA ELETTRONICA SRL (x2)</t>
  </si>
  <si>
    <t>FARAONI ALLESTIMENTI</t>
  </si>
  <si>
    <t>NUOVA TESI SYSTEM S.R.L. NERVESA</t>
  </si>
  <si>
    <t>03/07/2025INSERITO INTERVENTO SUL PLANNER</t>
  </si>
  <si>
    <t>AGGIORNATO ANAGRAFICA + INPUT (VECCHIO)</t>
  </si>
  <si>
    <t>ANSELMI &amp; C SRL SEDE SIMONWERK</t>
  </si>
  <si>
    <t>L'impianto verrà montato nel 2026</t>
  </si>
  <si>
    <r>
      <t>P.</t>
    </r>
    <r>
      <rPr>
        <sz val="11"/>
        <color rgb="FF7030A0"/>
        <rFont val="Calibri"/>
        <family val="2"/>
        <scheme val="minor"/>
      </rPr>
      <t>AGGIORNATO ANAGRAFICA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rgb="FFFF0000"/>
        <rFont val="Calibri"/>
        <family val="2"/>
        <scheme val="minor"/>
      </rPr>
      <t>DA INSERIRE MODELLO COMPRESSORE C2</t>
    </r>
  </si>
  <si>
    <t xml:space="preserve">DEVONO CAMBIARE COMPRESSORE </t>
  </si>
  <si>
    <t>SUPERNASTRI SRL ***</t>
  </si>
  <si>
    <r>
      <t>AGGIORNATO ANAGRAFICA</t>
    </r>
    <r>
      <rPr>
        <sz val="11"/>
        <color rgb="FFFF0000"/>
        <rFont val="Calibri"/>
        <family val="2"/>
        <scheme val="minor"/>
      </rPr>
      <t xml:space="preserve"> DA INSERIRE MODELLO COMPRESSORE C2</t>
    </r>
    <r>
      <rPr>
        <sz val="11"/>
        <color rgb="FF7030A0"/>
        <rFont val="Calibri"/>
        <family val="2"/>
        <scheme val="minor"/>
      </rPr>
      <t xml:space="preserve"> mod BOTTARINI</t>
    </r>
  </si>
  <si>
    <r>
      <t xml:space="preserve">AGGIORNATO ANAGRAFICA </t>
    </r>
    <r>
      <rPr>
        <sz val="11"/>
        <color rgb="FFFF0000"/>
        <rFont val="Calibri"/>
        <family val="2"/>
        <scheme val="minor"/>
      </rPr>
      <t>DA INSERIRE MODELLO COMPRESSORE C1</t>
    </r>
    <r>
      <rPr>
        <sz val="11"/>
        <color rgb="FF7030A0"/>
        <rFont val="Calibri"/>
        <family val="2"/>
        <scheme val="minor"/>
      </rPr>
      <t xml:space="preserve"> mod POWER SYSTEM</t>
    </r>
  </si>
  <si>
    <t>AGGIORNATO ANAGRAFICA +INPUT</t>
  </si>
  <si>
    <t>CHIBRO</t>
  </si>
  <si>
    <t>P.02/07/2025 SOLLECITATO VIA MAIL + CHIAMATO IL 29/07/2025</t>
  </si>
  <si>
    <t>p. CHIAMATO IL 31/07/2025</t>
  </si>
  <si>
    <r>
      <rPr>
        <sz val="11"/>
        <color theme="4" tint="-0.499984740745262"/>
        <rFont val="Calibri"/>
        <family val="2"/>
        <scheme val="minor"/>
      </rPr>
      <t>L.</t>
    </r>
    <r>
      <rPr>
        <sz val="11"/>
        <color theme="1"/>
        <rFont val="Calibri"/>
        <family val="2"/>
        <scheme val="minor"/>
      </rPr>
      <t xml:space="preserve"> Sollecitato via mail il 20/02/25+26/03/2025+21/05/2025+03/07/2025 + CHIAMATO IL 31/07/2025</t>
    </r>
  </si>
  <si>
    <t>L. Sollecitata mail il 02/10/2024+19/03/25+15/04/2025 + CHIAMATO IL 31/07/2025</t>
  </si>
  <si>
    <t>P.02/07/2025 SOLLECITATO VIA MAIL + CHIAMATO IL 31/07/2025</t>
  </si>
  <si>
    <t>in attesa di conferma per fare le spessimetriche - FATTE  + CHIAMATO IL 31/07/2025</t>
  </si>
  <si>
    <t>P. sollecitato il 21/05/2025 + 02/07/2025+ CHIAMATO IL 31/07/2025</t>
  </si>
  <si>
    <t>P. SOLLECITATO VIA MAIL IL 02/07/2025 + chiamato il 31/07/2025</t>
  </si>
  <si>
    <r>
      <t xml:space="preserve">L.Sollecitato mail il 08/03/2024+20/03/2025 </t>
    </r>
    <r>
      <rPr>
        <sz val="11"/>
        <color rgb="FFFF0000"/>
        <rFont val="Calibri"/>
        <family val="2"/>
        <scheme val="minor"/>
      </rPr>
      <t>MANDATO ULTIMA MAIL IL 09/04/2025</t>
    </r>
  </si>
  <si>
    <t>TREVISO TIRAMISU' SRL ***</t>
  </si>
  <si>
    <t>ISOSYSTEM SUD SRL</t>
  </si>
  <si>
    <t>AGGIORNATO ANAGRAFICA + INPUT GIA' INSERITO MANCA L'ESSICCATORE</t>
  </si>
  <si>
    <t>INOXKING SRL</t>
  </si>
  <si>
    <t>08/08/2025 CARICATO PLANNER</t>
  </si>
  <si>
    <t>CHECK INFO RICHIESTE SU WA - AGGIORNATO ANAGRAFICA + INPUT</t>
  </si>
  <si>
    <t>AGGIUNGERE DATA SU RELAZIONE! AGGIORNATO ANAGRAFICA</t>
  </si>
  <si>
    <t>NUOVA TESI SYSTEM S.R.L. MARTIGNACCO sala 2</t>
  </si>
  <si>
    <t>SERBATOI PRIMIERO (x2)</t>
  </si>
  <si>
    <t>SILMEC (x2)</t>
  </si>
  <si>
    <t>VARESCO LEGNO SRL ********</t>
  </si>
  <si>
    <t>NUOVA TESI SYSTEM S.R.L. CASALE SUL SILE (X2)</t>
  </si>
  <si>
    <t>NUOVA TESI SYSTEM S.R.L. MARTIGNACCO - C</t>
  </si>
  <si>
    <t>L. Sollecitato il 19/02/2025 + 03/09/2025</t>
  </si>
  <si>
    <t>03/09/2025 in attesa schema impianto + CE serb</t>
  </si>
  <si>
    <t>AGGIORNATO ANAFRAFICA + INPUT</t>
  </si>
  <si>
    <t>ART GLASS 2000 (x2)</t>
  </si>
  <si>
    <t xml:space="preserve">FAVERO ELECTRONICS SRL [B - via lombardi 12]*** </t>
  </si>
  <si>
    <t>SERBATOI VERRANNO CONSEGNATI A SETTEMBRE 2025 (08/09/25 caricato intervento)</t>
  </si>
  <si>
    <t>SACCON GOMME SPA - PONTE DELLA PRIULA</t>
  </si>
  <si>
    <t>10/09/2025 da capire se compressore PARISE viene eliminato</t>
  </si>
  <si>
    <t>UNIONPLAST S.R.L. - sala compressori 1</t>
  </si>
  <si>
    <t>UNIONPLAST S.R.L. - sala compressori 2</t>
  </si>
  <si>
    <t xml:space="preserve">OOKII </t>
  </si>
  <si>
    <t>11/09/25 IN ATTESTA INSTALLAZIONE SERBATOI</t>
  </si>
  <si>
    <t>AGGIORNATO ANAGFRAFICA + INPUT (DUE PARTI)</t>
  </si>
  <si>
    <t xml:space="preserve">L.Sollecitato anche il 25/09/2024 - 28/01/2025+21/05/2025+03/07/2025+ CHIAMATO IL 31/07/2025 AGGIORNATO ANAGRAFICA + INPUT </t>
  </si>
  <si>
    <t>VENETA CUCINE SPA* BIANCADE -SALA PRINCIPALE</t>
  </si>
  <si>
    <t>AGGIORNATO ANAGRAIFCA + INPUT</t>
  </si>
  <si>
    <t>AGGIORNATO ANAGRAFICA + INPUT -chiesto  al cliente per zona atex</t>
  </si>
  <si>
    <t>AGGIORNATO ANAGRAFICA  + INPUT</t>
  </si>
  <si>
    <t>GRUPPO INDUSTRIALE TEGOLAIA SRL - TEGOLE (X3)</t>
  </si>
  <si>
    <t>GRUPPO INDUSTRIALE TEGOLAIA SRL - BETONELLE (X2)</t>
  </si>
  <si>
    <t>24/09/2025 sollecitato via mail</t>
  </si>
  <si>
    <t>03/07/2025 INSERITO INTERVENTO SUL PLANNER</t>
  </si>
  <si>
    <t>25/09/2025 IL CLIENTE NON VUOLE PROCEDERE CON IL DM329</t>
  </si>
  <si>
    <t>ITAGENCY SRL</t>
  </si>
  <si>
    <r>
      <t xml:space="preserve">L. sollecito 13/02/2025+26/03/2025+21/05/2025+03/07/2025 + CHIAMATO IL 31/07/2025- 15/09/2025 inviato ultima mail </t>
    </r>
    <r>
      <rPr>
        <b/>
        <sz val="11"/>
        <color theme="1"/>
        <rFont val="Calibri"/>
        <family val="2"/>
        <scheme val="minor"/>
      </rPr>
      <t>RIMANDATO MAIL IL 26/09/2025</t>
    </r>
  </si>
  <si>
    <t xml:space="preserve">AGGIORNAMENTO PRATICA </t>
  </si>
  <si>
    <t>COSTRUZIONI MECCANICHE PE.BO. SRL - SALA 2</t>
  </si>
  <si>
    <t>AVVISO</t>
  </si>
  <si>
    <t>DALLA PIETA' SRL****</t>
  </si>
  <si>
    <t xml:space="preserve">RUBINETTERIE BRESCIANE - BORDOLANO </t>
  </si>
  <si>
    <t xml:space="preserve">06/10/2025  in attesa dovrebbero  cambiare legale rappresentante. 
</t>
  </si>
  <si>
    <t>P.M.L. SNC DI LUISATO GUERRINO</t>
  </si>
  <si>
    <t>DOLCI PALMISANO</t>
  </si>
  <si>
    <t>AUTOMATIONWARE SRL</t>
  </si>
  <si>
    <t>GPO SRL - HARLEY-DAVIDSON TREVISO - BASSANO</t>
  </si>
  <si>
    <t>H 8 COMMERCIALE</t>
  </si>
  <si>
    <t>ANALISI PERDITE</t>
  </si>
  <si>
    <t>GENERAL MEMBRANE S.P.A.* SALA COMP. 2 ******</t>
  </si>
  <si>
    <t>GENERAL MEMBRANE S.P.A.* SALA COMP. 1 *******</t>
  </si>
  <si>
    <r>
      <t>L. Sollecitato via mail il 20/02/25+26/03/2025+21/05/2025+03/07/2025+CHIAMATO IL 31/07/2025</t>
    </r>
    <r>
      <rPr>
        <sz val="11"/>
        <color rgb="FFFF0000"/>
        <rFont val="Calibri"/>
        <family val="2"/>
        <scheme val="minor"/>
      </rPr>
      <t xml:space="preserve"> MAI CONCLUSA</t>
    </r>
  </si>
  <si>
    <r>
      <t xml:space="preserve">L. Sollecito anche il 27/11/2024+19/03/2025+21/05/2025+03/07/2025+CHIAMATO IL 31/07/2025 </t>
    </r>
    <r>
      <rPr>
        <sz val="11"/>
        <color rgb="FFFF0000"/>
        <rFont val="Calibri"/>
        <family val="2"/>
        <scheme val="minor"/>
      </rPr>
      <t>MAI CONCLUSA</t>
    </r>
  </si>
  <si>
    <r>
      <t>L. Sollecitato via mail il 28/02/24 - 27/11/2024+19/03/2025+21/05/2025+03/07/2025+ CHIAMATO IL 31/07/2025</t>
    </r>
    <r>
      <rPr>
        <sz val="11"/>
        <color rgb="FFFF0000"/>
        <rFont val="Calibri"/>
        <family val="2"/>
        <scheme val="minor"/>
      </rPr>
      <t xml:space="preserve"> MAI CONCLUSA </t>
    </r>
  </si>
  <si>
    <t xml:space="preserve">p. CHIAMATO IL 31/07/2025 AGGIORNATO ANAGRAFICA + INPUT </t>
  </si>
  <si>
    <t xml:space="preserve">CHECK SPESSIMETRICA - inserito verbale CS su cartellina </t>
  </si>
  <si>
    <t>LABORATORIO DELLA FARMACIA</t>
  </si>
  <si>
    <t>DISTR.: TAVOLE E DIMENS.</t>
  </si>
  <si>
    <t>LARGE FORMAT PRINTING SRL - SALA 1</t>
  </si>
  <si>
    <t>LARGE FORMAT PRINTING SRL - SALA 2</t>
  </si>
  <si>
    <t>LARGE FORMAT PRINTING SRL - SALA 3</t>
  </si>
  <si>
    <t>LARGE FORMAT PRINTING SRL - SALA 4</t>
  </si>
  <si>
    <t>STAMPA VENEZIA SRL (x2)</t>
  </si>
  <si>
    <t>LA T TECNICA SPA</t>
  </si>
  <si>
    <t xml:space="preserve">DIAM. TUBI &gt; 80 (110) Sollecito anche il 25/02/25 - inivato ultima mail il 26/03/2025 AGGIORNATO ANAGRAFICA + INPUT </t>
  </si>
  <si>
    <t>LABORATORIO DELLA FARMARICA - MAGAZZINO</t>
  </si>
  <si>
    <t>05/11/2025 in attesa foto</t>
  </si>
  <si>
    <t xml:space="preserve">MANCA INSTALLAZIONE DELLE VALVOLE DI SICUREZZA </t>
  </si>
  <si>
    <t>08/11/2025 dovrebbero sostituire le vasic</t>
  </si>
  <si>
    <t>INTERSOKS  (X2)</t>
  </si>
  <si>
    <t>AGGIORNATO ANAGRAFICA+INPUT</t>
  </si>
  <si>
    <t>(delega ok)</t>
  </si>
  <si>
    <t>IN ATTESA CARTE DAL CLIENTE PER INDIRIZZO AGGIORNARE RELAZIONE TECNICA -  SOST. COMPRESSORE + ESSICATORE</t>
  </si>
  <si>
    <t>AGGIORNARE RELAZIONE AGGIUNTO COMP + BY PASS</t>
  </si>
  <si>
    <t>Colonna1</t>
  </si>
  <si>
    <t>Colonna2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</si>
</sst>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10" x14ac:knownFonts="1">
    <font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4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vertical="center" wrapText="1"/>
    </xf>
    <xf numFmtId="0" fontId="0" fillId="0" borderId="0" xfId="0" applyAlignment="1">
      <alignment horizontal="left" wrapText="1"/>
    </xf>
    <xf numFmtId="14" fontId="0" fillId="2" borderId="0" xfId="0" applyNumberFormat="1" applyFill="1" applyAlignment="1">
      <alignment vertical="center" wrapText="1"/>
    </xf>
    <xf numFmtId="0" fontId="0" fillId="3" borderId="0" xfId="0" applyFill="1" applyAlignment="1">
      <alignment vertical="center" wrapText="1"/>
    </xf>
    <xf numFmtId="14" fontId="0" fillId="0" borderId="0" xfId="0" applyNumberForma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44" fontId="0" fillId="0" borderId="0" xfId="1" applyFont="1"/>
    <xf numFmtId="0" fontId="0" fillId="2" borderId="0" xfId="0" applyFill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wrapText="1"/>
    </xf>
    <xf numFmtId="0" fontId="0" fillId="4" borderId="0" xfId="0" applyFill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49" fontId="0" fillId="0" borderId="0" xfId="0" quotePrefix="1" applyNumberFormat="1" applyAlignment="1">
      <alignment horizontal="center" vertical="top" wrapText="1"/>
    </xf>
    <xf numFmtId="49" fontId="0" fillId="0" borderId="0" xfId="0" applyNumberFormat="1" applyAlignment="1">
      <alignment horizontal="center" vertical="top" wrapText="1"/>
    </xf>
    <xf numFmtId="0" fontId="0" fillId="3" borderId="0" xfId="0" applyFill="1" applyAlignment="1">
      <alignment horizontal="left" vertical="center" wrapText="1"/>
    </xf>
    <xf numFmtId="0" fontId="8" fillId="0" borderId="0" xfId="0" applyFont="1" applyAlignment="1">
      <alignment vertical="center" wrapText="1"/>
    </xf>
    <xf numFmtId="0" fontId="8" fillId="2" borderId="0" xfId="0" applyFont="1" applyFill="1" applyAlignment="1">
      <alignment vertical="center" wrapText="1"/>
    </xf>
    <xf numFmtId="0" fontId="8" fillId="5" borderId="0" xfId="0" applyFont="1" applyFill="1" applyAlignment="1">
      <alignment vertical="center" wrapText="1"/>
    </xf>
    <xf numFmtId="14" fontId="8" fillId="0" borderId="0" xfId="0" applyNumberFormat="1" applyFont="1" applyAlignment="1">
      <alignment vertical="center" wrapText="1"/>
    </xf>
    <xf numFmtId="14" fontId="8" fillId="5" borderId="0" xfId="0" applyNumberFormat="1" applyFont="1" applyFill="1" applyAlignment="1">
      <alignment vertical="center" wrapText="1"/>
    </xf>
    <xf numFmtId="0" fontId="0" fillId="6" borderId="0" xfId="0" applyFill="1" applyAlignment="1">
      <alignment vertical="center" wrapText="1"/>
    </xf>
    <xf numFmtId="0" fontId="0" fillId="6" borderId="0" xfId="0" applyFill="1" applyAlignment="1">
      <alignment horizontal="left" vertical="center" wrapText="1"/>
    </xf>
    <xf numFmtId="0" fontId="0" fillId="6" borderId="0" xfId="0" applyFill="1" applyAlignment="1">
      <alignment wrapText="1"/>
    </xf>
    <xf numFmtId="0" fontId="0" fillId="0" borderId="0" xfId="0" applyAlignment="1">
      <alignment horizontal="left" wrapText="1" indent="1"/>
    </xf>
    <xf numFmtId="14" fontId="0" fillId="0" borderId="0" xfId="0" applyNumberFormat="1" applyAlignment="1">
      <alignment horizontal="left" wrapText="1" indent="1"/>
    </xf>
    <xf numFmtId="0" fontId="8" fillId="3" borderId="0" xfId="0" applyFont="1" applyFill="1" applyAlignment="1">
      <alignment vertical="center" wrapText="1"/>
    </xf>
  </cellXfs>
  <cellStyles count="2">
    <cellStyle name="Normale" xfId="0" builtinId="0"/>
    <cellStyle name="Valuta" xfId="1" builtinId="4"/>
  </cellStyles>
  <dxfs count="54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b val="0"/>
        <i val="0"/>
        <color auto="1"/>
      </font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_DASHBOARD" displayName="TAB_DASHBOARD" ref="A1:O202" totalsRowShown="0" headerRowDxfId="16" dataDxfId="15">
  <autoFilter ref="A1:O202" xr:uid="{00000000-000C-0000-FFFF-FFFF00000000}">
    <filterColumn colId="2">
      <filters>
        <filter val="7 - CHIUSA"/>
      </filters>
    </filterColumn>
  </autoFilter>
  <sortState xmlns:xlrd2="http://schemas.microsoft.com/office/spreadsheetml/2017/richdata2" ref="A2:M202">
    <sortCondition ref="A1:A202"/>
  </sortState>
  <tableColumns count="15">
    <tableColumn id="1" xr3:uid="{00000000-0010-0000-0000-000001000000}" name="CLIENTE" dataDxfId="14"/>
    <tableColumn id="13" xr3:uid="{1E036DE3-AB22-4870-8DD5-881CFA217660}" name="TIPO" dataDxfId="13"/>
    <tableColumn id="2" xr3:uid="{00000000-0010-0000-0000-000002000000}" name="STATO" dataDxfId="12"/>
    <tableColumn id="3" xr3:uid="{16CB95A1-E424-4F49-9B8F-3898D5C45363}" name="- 1 -_x000a_INCARICO RICEVUTO" dataDxfId="11"/>
    <tableColumn id="6" xr3:uid="{DAD9BE63-93A1-457A-B6E7-8E21F6F52713}" name="- 2-_x000a_SCHEDA DATI PRONTA" dataDxfId="10"/>
    <tableColumn id="8" xr3:uid="{B28DF3B4-10E2-4803-AC44-B75DE8A0301A}" name="- 3 -_x000a_MAIL CLIENTE INVIATA" dataDxfId="9"/>
    <tableColumn id="12" xr3:uid="{00000000-0010-0000-0000-00000C000000}" name="- 4 -_x000a_ DOCUMENTI PRONTI" dataDxfId="8"/>
    <tableColumn id="4" xr3:uid="{F3006B6B-7F70-473E-B20B-7A8B3D0C1EBB}" name="- 5 -_x000a_ ATTESA FIRMA" dataDxfId="7"/>
    <tableColumn id="5" xr3:uid="{90AB936A-6DD2-4135-80DB-6704DC20EDBD}" name="- 6 - _x000a_ PRONTA PER CIVA" dataDxfId="6"/>
    <tableColumn id="14" xr3:uid="{090438FA-267D-47E4-8A70-2494F21B4F51}" name="- 7 -_x000a_ CHIUSA" dataDxfId="5"/>
    <tableColumn id="7" xr3:uid="{00000000-0010-0000-0000-000007000000}" name="NOTE" dataDxfId="4"/>
    <tableColumn id="10" xr3:uid="{00000000-0010-0000-0000-00000A000000}" name="FATTURARE A" dataDxfId="3"/>
    <tableColumn id="11" xr3:uid="{00000000-0010-0000-0000-00000B000000}" name="FATTURATO" dataDxfId="2"/>
    <tableColumn id="9" xr3:uid="{33C9E865-15A0-4893-A3E9-3DCE1F0CBD34}" name="Colonna1" dataDxfId="1"/>
    <tableColumn id="15" xr3:uid="{7D01DA85-6397-4229-9422-3AE76234078F}" name="Colonna2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>
    <pageSetUpPr fitToPage="1"/>
  </sheetPr>
  <dimension ref="A1:O202"/>
  <sheetViews>
    <sheetView tabSelected="1" zoomScaleNormal="100" workbookViewId="0">
      <pane xSplit="3" ySplit="1" topLeftCell="D164" activePane="bottomRight" state="frozen"/>
      <selection pane="topRight" activeCell="C1" sqref="C1"/>
      <selection pane="bottomLeft" activeCell="A2" sqref="A2"/>
      <selection pane="bottomRight" activeCell="N3" sqref="N3:N202"/>
    </sheetView>
  </sheetViews>
  <sheetFormatPr defaultColWidth="8.85546875" defaultRowHeight="15" x14ac:dyDescent="0.25"/>
  <cols>
    <col min="1" max="1" width="42.7109375" style="1" customWidth="1"/>
    <col min="2" max="2" width="7.5703125" style="10" customWidth="1"/>
    <col min="3" max="3" width="23.7109375" style="2" bestFit="1" customWidth="1"/>
    <col min="4" max="9" width="13.28515625" style="1" customWidth="1"/>
    <col min="10" max="10" width="13.28515625" style="22" customWidth="1"/>
    <col min="11" max="11" width="61.28515625" style="1" customWidth="1"/>
    <col min="12" max="12" width="13.85546875" style="11" customWidth="1"/>
    <col min="13" max="13" width="12.42578125" style="11" customWidth="1"/>
    <col min="15" max="15" width="14.140625" bestFit="1" customWidth="1"/>
  </cols>
  <sheetData>
    <row r="1" spans="1:15" ht="45" x14ac:dyDescent="0.25">
      <c r="A1" s="2" t="s">
        <v>0</v>
      </c>
      <c r="B1" s="2" t="s">
        <v>19</v>
      </c>
      <c r="C1" s="2" t="s">
        <v>1</v>
      </c>
      <c r="D1" s="26" t="s">
        <v>50</v>
      </c>
      <c r="E1" s="26" t="s">
        <v>51</v>
      </c>
      <c r="F1" s="26" t="s">
        <v>52</v>
      </c>
      <c r="G1" s="27" t="s">
        <v>53</v>
      </c>
      <c r="H1" s="27" t="s">
        <v>54</v>
      </c>
      <c r="I1" s="27" t="s">
        <v>55</v>
      </c>
      <c r="J1" s="27" t="s">
        <v>56</v>
      </c>
      <c r="K1" s="2" t="s">
        <v>7</v>
      </c>
      <c r="L1" s="2" t="s">
        <v>9</v>
      </c>
      <c r="M1" s="2" t="s">
        <v>12</v>
      </c>
      <c r="N1" s="2" t="s">
        <v>342</v>
      </c>
      <c r="O1" s="2" t="s">
        <v>343</v>
      </c>
    </row>
    <row r="2" spans="1:15" hidden="1" x14ac:dyDescent="0.25">
      <c r="A2" s="3" t="s">
        <v>122</v>
      </c>
      <c r="B2" s="10" t="s">
        <v>20</v>
      </c>
      <c r="C2" s="2" t="s">
        <v>43</v>
      </c>
      <c r="D2" s="16">
        <v>45959</v>
      </c>
      <c r="E2" s="16"/>
      <c r="F2" s="16"/>
      <c r="G2" s="16"/>
      <c r="H2" s="16"/>
      <c r="I2" s="16"/>
      <c r="J2" s="16"/>
      <c r="K2" s="6"/>
      <c r="L2" s="2" t="s">
        <v>10</v>
      </c>
      <c r="M2" s="2"/>
      <c r="N2" s="1"/>
      <c r="O2" s="1"/>
    </row>
    <row r="3" spans="1:15" x14ac:dyDescent="0.25">
      <c r="A3" s="3" t="s">
        <v>244</v>
      </c>
      <c r="B3" s="10" t="s">
        <v>20</v>
      </c>
      <c r="C3" s="10" t="s">
        <v>49</v>
      </c>
      <c r="D3" s="16">
        <v>45742</v>
      </c>
      <c r="E3" s="16">
        <v>45777</v>
      </c>
      <c r="F3" s="16">
        <v>45782</v>
      </c>
      <c r="G3" s="16">
        <v>45799</v>
      </c>
      <c r="H3" s="16">
        <v>45841</v>
      </c>
      <c r="I3" s="16">
        <v>45845</v>
      </c>
      <c r="J3" s="16">
        <v>45846</v>
      </c>
      <c r="K3" s="29" t="s">
        <v>208</v>
      </c>
      <c r="L3" s="2" t="s">
        <v>10</v>
      </c>
      <c r="M3" s="2" t="s">
        <v>13</v>
      </c>
      <c r="N3" s="1">
        <f>TAB_DASHBOARD[[#This Row],[- 7 -
 CHIUSA]]-TAB_DASHBOARD[[#This Row],[- 1 -
INCARICO RICEVUTO]]</f>
        <v>104</v>
      </c>
      <c r="O3" s="1"/>
    </row>
    <row r="4" spans="1:15" x14ac:dyDescent="0.25">
      <c r="A4" s="3" t="s">
        <v>94</v>
      </c>
      <c r="B4" s="10" t="s">
        <v>20</v>
      </c>
      <c r="C4" s="10" t="s">
        <v>49</v>
      </c>
      <c r="D4" s="16">
        <v>45716</v>
      </c>
      <c r="E4" s="16">
        <v>45735</v>
      </c>
      <c r="F4" s="16">
        <v>45741</v>
      </c>
      <c r="G4" s="16">
        <v>45798</v>
      </c>
      <c r="H4" s="16">
        <v>45814</v>
      </c>
      <c r="I4" s="16">
        <v>45821</v>
      </c>
      <c r="J4" s="16">
        <v>45824</v>
      </c>
      <c r="K4" s="4" t="s">
        <v>231</v>
      </c>
      <c r="L4" s="2" t="s">
        <v>10</v>
      </c>
      <c r="M4" s="2" t="s">
        <v>13</v>
      </c>
      <c r="N4" s="1">
        <f>TAB_DASHBOARD[[#This Row],[- 7 -
 CHIUSA]]-TAB_DASHBOARD[[#This Row],[- 1 -
INCARICO RICEVUTO]]</f>
        <v>108</v>
      </c>
      <c r="O4" s="1"/>
    </row>
    <row r="5" spans="1:15" ht="30" hidden="1" x14ac:dyDescent="0.25">
      <c r="A5" s="3" t="s">
        <v>123</v>
      </c>
      <c r="B5" s="2" t="s">
        <v>20</v>
      </c>
      <c r="C5" s="2" t="s">
        <v>44</v>
      </c>
      <c r="D5" s="16">
        <v>45897</v>
      </c>
      <c r="E5" s="16">
        <v>45910</v>
      </c>
      <c r="F5" s="16"/>
      <c r="G5" s="16"/>
      <c r="H5" s="16"/>
      <c r="I5" s="16"/>
      <c r="J5" s="16"/>
      <c r="K5" s="4" t="s">
        <v>287</v>
      </c>
      <c r="L5" s="2" t="s">
        <v>11</v>
      </c>
      <c r="M5" s="2"/>
      <c r="N5" s="1"/>
      <c r="O5" s="1"/>
    </row>
    <row r="6" spans="1:15" x14ac:dyDescent="0.25">
      <c r="A6" s="3" t="s">
        <v>117</v>
      </c>
      <c r="B6" s="10" t="s">
        <v>20</v>
      </c>
      <c r="C6" s="2" t="s">
        <v>49</v>
      </c>
      <c r="D6" s="16">
        <v>45736</v>
      </c>
      <c r="E6" s="16">
        <v>45742</v>
      </c>
      <c r="F6" s="16">
        <v>45742</v>
      </c>
      <c r="G6" s="16">
        <v>45761</v>
      </c>
      <c r="H6" s="16">
        <v>45761</v>
      </c>
      <c r="I6" s="16">
        <v>45761</v>
      </c>
      <c r="J6" s="16">
        <v>45762</v>
      </c>
      <c r="K6" s="29" t="s">
        <v>178</v>
      </c>
      <c r="L6" s="2" t="s">
        <v>11</v>
      </c>
      <c r="M6" s="2" t="s">
        <v>13</v>
      </c>
      <c r="N6" s="1">
        <f>TAB_DASHBOARD[[#This Row],[- 7 -
 CHIUSA]]-TAB_DASHBOARD[[#This Row],[- 1 -
INCARICO RICEVUTO]]</f>
        <v>26</v>
      </c>
      <c r="O6" s="1"/>
    </row>
    <row r="7" spans="1:15" hidden="1" x14ac:dyDescent="0.25">
      <c r="A7" s="3" t="s">
        <v>124</v>
      </c>
      <c r="B7" s="10" t="s">
        <v>20</v>
      </c>
      <c r="C7" s="2" t="s">
        <v>43</v>
      </c>
      <c r="D7" s="16">
        <v>45957</v>
      </c>
      <c r="E7" s="16"/>
      <c r="F7" s="16"/>
      <c r="G7" s="2"/>
      <c r="H7" s="16"/>
      <c r="I7" s="16"/>
      <c r="J7" s="16"/>
      <c r="K7" s="4"/>
      <c r="L7" s="2" t="s">
        <v>11</v>
      </c>
      <c r="M7" s="2"/>
      <c r="N7" s="1"/>
      <c r="O7" s="1"/>
    </row>
    <row r="8" spans="1:15" hidden="1" x14ac:dyDescent="0.25">
      <c r="A8" s="3" t="s">
        <v>249</v>
      </c>
      <c r="B8" s="10" t="s">
        <v>20</v>
      </c>
      <c r="C8" s="10" t="s">
        <v>43</v>
      </c>
      <c r="D8" s="16">
        <v>45859</v>
      </c>
      <c r="E8" s="16"/>
      <c r="F8" s="16"/>
      <c r="G8" s="16"/>
      <c r="H8" s="16"/>
      <c r="I8" s="16"/>
      <c r="J8" s="16"/>
      <c r="K8" s="4" t="s">
        <v>250</v>
      </c>
      <c r="L8" s="2" t="s">
        <v>11</v>
      </c>
      <c r="M8" s="2"/>
      <c r="N8" s="1"/>
      <c r="O8" s="1"/>
    </row>
    <row r="9" spans="1:15" x14ac:dyDescent="0.25">
      <c r="A9" s="3" t="s">
        <v>283</v>
      </c>
      <c r="B9" s="10" t="s">
        <v>20</v>
      </c>
      <c r="C9" s="2" t="s">
        <v>49</v>
      </c>
      <c r="D9" s="16">
        <v>45706</v>
      </c>
      <c r="E9" s="16">
        <v>45777</v>
      </c>
      <c r="F9" s="16">
        <v>45782</v>
      </c>
      <c r="G9" s="16">
        <v>45869</v>
      </c>
      <c r="H9" s="16">
        <v>45896</v>
      </c>
      <c r="I9" s="16">
        <v>45901</v>
      </c>
      <c r="J9" s="16">
        <v>45908</v>
      </c>
      <c r="K9" s="31" t="s">
        <v>178</v>
      </c>
      <c r="L9" s="2" t="s">
        <v>10</v>
      </c>
      <c r="M9" s="2" t="s">
        <v>13</v>
      </c>
      <c r="N9" s="1">
        <f>TAB_DASHBOARD[[#This Row],[- 7 -
 CHIUSA]]-TAB_DASHBOARD[[#This Row],[- 1 -
INCARICO RICEVUTO]]</f>
        <v>202</v>
      </c>
      <c r="O9" s="1"/>
    </row>
    <row r="10" spans="1:15" hidden="1" x14ac:dyDescent="0.25">
      <c r="A10" s="3" t="s">
        <v>125</v>
      </c>
      <c r="B10" s="10" t="s">
        <v>20</v>
      </c>
      <c r="C10" s="2" t="s">
        <v>46</v>
      </c>
      <c r="D10" s="16">
        <v>45950</v>
      </c>
      <c r="E10" s="16">
        <v>45961</v>
      </c>
      <c r="F10" s="16">
        <v>45961</v>
      </c>
      <c r="G10" s="16">
        <v>45966</v>
      </c>
      <c r="H10" s="16"/>
      <c r="I10" s="16"/>
      <c r="J10" s="16"/>
      <c r="K10" s="5"/>
      <c r="L10" s="2" t="s">
        <v>11</v>
      </c>
      <c r="M10" s="2"/>
      <c r="N10" s="1"/>
      <c r="O10" s="1"/>
    </row>
    <row r="11" spans="1:15" hidden="1" x14ac:dyDescent="0.25">
      <c r="A11" s="3" t="s">
        <v>69</v>
      </c>
      <c r="B11" s="10" t="s">
        <v>20</v>
      </c>
      <c r="C11" s="10" t="s">
        <v>45</v>
      </c>
      <c r="D11" s="16">
        <v>45707</v>
      </c>
      <c r="E11" s="16">
        <v>45776</v>
      </c>
      <c r="F11" s="16">
        <v>45777</v>
      </c>
      <c r="G11" s="2"/>
      <c r="H11" s="16"/>
      <c r="I11" s="16"/>
      <c r="J11" s="16"/>
      <c r="K11" s="4" t="s">
        <v>258</v>
      </c>
      <c r="L11" s="2" t="s">
        <v>11</v>
      </c>
      <c r="M11" s="2"/>
      <c r="N11" s="1"/>
      <c r="O11" s="1"/>
    </row>
    <row r="12" spans="1:15" hidden="1" x14ac:dyDescent="0.25">
      <c r="A12" s="3" t="s">
        <v>238</v>
      </c>
      <c r="B12" s="2" t="s">
        <v>20</v>
      </c>
      <c r="C12" s="10" t="s">
        <v>47</v>
      </c>
      <c r="D12" s="16">
        <v>45831</v>
      </c>
      <c r="E12" s="16">
        <v>45838</v>
      </c>
      <c r="F12" s="16">
        <v>45838</v>
      </c>
      <c r="G12" s="16">
        <v>45938</v>
      </c>
      <c r="H12" s="16">
        <v>45967</v>
      </c>
      <c r="I12" s="16"/>
      <c r="J12" s="16"/>
      <c r="K12" s="34" t="s">
        <v>322</v>
      </c>
      <c r="L12" s="2" t="s">
        <v>11</v>
      </c>
      <c r="M12" s="2"/>
      <c r="N12" s="1"/>
      <c r="O12" s="1"/>
    </row>
    <row r="13" spans="1:15" hidden="1" x14ac:dyDescent="0.25">
      <c r="A13" s="3" t="s">
        <v>313</v>
      </c>
      <c r="B13" s="10" t="s">
        <v>20</v>
      </c>
      <c r="C13" s="2" t="s">
        <v>46</v>
      </c>
      <c r="D13" s="16">
        <v>45938</v>
      </c>
      <c r="E13" s="16">
        <v>45961</v>
      </c>
      <c r="F13" s="16">
        <v>45961</v>
      </c>
      <c r="G13" s="16">
        <v>45966</v>
      </c>
      <c r="H13" s="16"/>
      <c r="I13" s="16"/>
      <c r="J13" s="16"/>
      <c r="K13" s="4"/>
      <c r="L13" s="2" t="s">
        <v>10</v>
      </c>
      <c r="M13" s="2"/>
      <c r="N13" s="1"/>
      <c r="O13" s="1"/>
    </row>
    <row r="14" spans="1:15" x14ac:dyDescent="0.25">
      <c r="A14" s="3" t="s">
        <v>71</v>
      </c>
      <c r="B14" s="10" t="s">
        <v>20</v>
      </c>
      <c r="C14" s="10" t="s">
        <v>49</v>
      </c>
      <c r="D14" s="16">
        <v>45364</v>
      </c>
      <c r="E14" s="16">
        <v>45764</v>
      </c>
      <c r="F14" s="16">
        <v>45764</v>
      </c>
      <c r="G14" s="16">
        <v>45813</v>
      </c>
      <c r="H14" s="16">
        <v>45852</v>
      </c>
      <c r="I14" s="16">
        <v>45854</v>
      </c>
      <c r="J14" s="16">
        <v>45856</v>
      </c>
      <c r="K14" s="29" t="s">
        <v>208</v>
      </c>
      <c r="L14" s="2" t="s">
        <v>11</v>
      </c>
      <c r="M14" s="2" t="s">
        <v>13</v>
      </c>
      <c r="N14" s="1">
        <f>TAB_DASHBOARD[[#This Row],[- 7 -
 CHIUSA]]-TAB_DASHBOARD[[#This Row],[- 1 -
INCARICO RICEVUTO]]</f>
        <v>492</v>
      </c>
      <c r="O14" s="1"/>
    </row>
    <row r="15" spans="1:15" x14ac:dyDescent="0.25">
      <c r="A15" s="19" t="s">
        <v>214</v>
      </c>
      <c r="B15" s="10" t="s">
        <v>20</v>
      </c>
      <c r="C15" s="10" t="s">
        <v>49</v>
      </c>
      <c r="D15" s="16">
        <v>45685</v>
      </c>
      <c r="E15" s="16">
        <v>45754</v>
      </c>
      <c r="F15" s="16">
        <v>45754</v>
      </c>
      <c r="G15" s="16">
        <v>45754</v>
      </c>
      <c r="H15" s="16">
        <v>45797</v>
      </c>
      <c r="I15" s="16">
        <v>45799</v>
      </c>
      <c r="J15" s="16">
        <v>45803</v>
      </c>
      <c r="K15" s="4" t="s">
        <v>211</v>
      </c>
      <c r="L15" s="2" t="s">
        <v>10</v>
      </c>
      <c r="M15" s="2" t="s">
        <v>13</v>
      </c>
      <c r="N15" s="1">
        <f>TAB_DASHBOARD[[#This Row],[- 7 -
 CHIUSA]]-TAB_DASHBOARD[[#This Row],[- 1 -
INCARICO RICEVUTO]]</f>
        <v>118</v>
      </c>
      <c r="O15" s="1"/>
    </row>
    <row r="16" spans="1:15" x14ac:dyDescent="0.25">
      <c r="A16" s="19" t="s">
        <v>193</v>
      </c>
      <c r="B16" s="10" t="s">
        <v>20</v>
      </c>
      <c r="C16" s="10" t="s">
        <v>49</v>
      </c>
      <c r="D16" s="16">
        <v>45685</v>
      </c>
      <c r="E16" s="16">
        <v>45754</v>
      </c>
      <c r="F16" s="16">
        <v>45754</v>
      </c>
      <c r="G16" s="16">
        <v>45754</v>
      </c>
      <c r="H16" s="16">
        <v>45797</v>
      </c>
      <c r="I16" s="16">
        <v>45799</v>
      </c>
      <c r="J16" s="16">
        <v>45803</v>
      </c>
      <c r="K16" s="4" t="s">
        <v>211</v>
      </c>
      <c r="L16" s="2" t="s">
        <v>10</v>
      </c>
      <c r="M16" s="2" t="s">
        <v>13</v>
      </c>
      <c r="N16" s="1">
        <f>TAB_DASHBOARD[[#This Row],[- 7 -
 CHIUSA]]-TAB_DASHBOARD[[#This Row],[- 1 -
INCARICO RICEVUTO]]</f>
        <v>118</v>
      </c>
      <c r="O16" s="1"/>
    </row>
    <row r="17" spans="1:15" ht="30" x14ac:dyDescent="0.25">
      <c r="A17" s="3" t="s">
        <v>72</v>
      </c>
      <c r="B17" s="10" t="s">
        <v>20</v>
      </c>
      <c r="C17" s="2" t="s">
        <v>49</v>
      </c>
      <c r="D17" s="16">
        <v>45628</v>
      </c>
      <c r="E17" s="16">
        <v>45743</v>
      </c>
      <c r="F17" s="16">
        <v>45747</v>
      </c>
      <c r="G17" s="16">
        <v>45748</v>
      </c>
      <c r="H17" s="16">
        <v>45769</v>
      </c>
      <c r="I17" s="16">
        <v>45771</v>
      </c>
      <c r="J17" s="16">
        <v>45775</v>
      </c>
      <c r="K17" s="4" t="s">
        <v>182</v>
      </c>
      <c r="L17" s="2" t="s">
        <v>11</v>
      </c>
      <c r="M17" s="2" t="s">
        <v>13</v>
      </c>
      <c r="N17" s="1">
        <f>TAB_DASHBOARD[[#This Row],[- 7 -
 CHIUSA]]-TAB_DASHBOARD[[#This Row],[- 1 -
INCARICO RICEVUTO]]</f>
        <v>147</v>
      </c>
      <c r="O17" s="1"/>
    </row>
    <row r="18" spans="1:15" ht="30" x14ac:dyDescent="0.25">
      <c r="A18" s="3" t="s">
        <v>73</v>
      </c>
      <c r="B18" s="10" t="s">
        <v>20</v>
      </c>
      <c r="C18" s="2" t="s">
        <v>49</v>
      </c>
      <c r="D18" s="16">
        <v>45629</v>
      </c>
      <c r="E18" s="16">
        <v>45743</v>
      </c>
      <c r="F18" s="16">
        <v>45747</v>
      </c>
      <c r="G18" s="16">
        <v>45748</v>
      </c>
      <c r="H18" s="16">
        <v>45769</v>
      </c>
      <c r="I18" s="16">
        <v>45771</v>
      </c>
      <c r="J18" s="16">
        <v>45775</v>
      </c>
      <c r="K18" s="4" t="s">
        <v>182</v>
      </c>
      <c r="L18" s="2" t="s">
        <v>11</v>
      </c>
      <c r="M18" s="2" t="s">
        <v>13</v>
      </c>
      <c r="N18" s="1">
        <f>TAB_DASHBOARD[[#This Row],[- 7 -
 CHIUSA]]-TAB_DASHBOARD[[#This Row],[- 1 -
INCARICO RICEVUTO]]</f>
        <v>146</v>
      </c>
      <c r="O18" s="1"/>
    </row>
    <row r="19" spans="1:15" hidden="1" x14ac:dyDescent="0.25">
      <c r="A19" s="3" t="s">
        <v>126</v>
      </c>
      <c r="B19" s="10" t="s">
        <v>20</v>
      </c>
      <c r="C19" s="2" t="s">
        <v>43</v>
      </c>
      <c r="D19" s="16">
        <v>45937</v>
      </c>
      <c r="E19" s="16"/>
      <c r="F19" s="16"/>
      <c r="G19" s="16"/>
      <c r="H19" s="16"/>
      <c r="I19" s="16"/>
      <c r="J19" s="16"/>
      <c r="K19" s="4"/>
      <c r="L19" s="2" t="s">
        <v>11</v>
      </c>
      <c r="M19" s="2"/>
      <c r="N19" s="1"/>
      <c r="O19" s="1"/>
    </row>
    <row r="20" spans="1:15" ht="43.5" customHeight="1" x14ac:dyDescent="0.25">
      <c r="A20" s="3" t="s">
        <v>127</v>
      </c>
      <c r="B20" s="10" t="s">
        <v>20</v>
      </c>
      <c r="C20" s="2" t="s">
        <v>49</v>
      </c>
      <c r="D20" s="16">
        <v>45754</v>
      </c>
      <c r="E20" s="16">
        <v>45832</v>
      </c>
      <c r="F20" s="16">
        <v>45832</v>
      </c>
      <c r="G20" s="16">
        <v>45852</v>
      </c>
      <c r="H20" s="16">
        <v>45889</v>
      </c>
      <c r="I20" s="16">
        <v>45896</v>
      </c>
      <c r="J20" s="16">
        <v>45896</v>
      </c>
      <c r="K20" s="4" t="s">
        <v>251</v>
      </c>
      <c r="L20" s="2" t="s">
        <v>11</v>
      </c>
      <c r="M20" s="2" t="s">
        <v>13</v>
      </c>
      <c r="N20" s="1">
        <f>TAB_DASHBOARD[[#This Row],[- 7 -
 CHIUSA]]-TAB_DASHBOARD[[#This Row],[- 1 -
INCARICO RICEVUTO]]</f>
        <v>142</v>
      </c>
      <c r="O20" s="1"/>
    </row>
    <row r="21" spans="1:15" hidden="1" x14ac:dyDescent="0.25">
      <c r="A21" s="3" t="s">
        <v>74</v>
      </c>
      <c r="B21" s="10" t="s">
        <v>20</v>
      </c>
      <c r="C21" s="10" t="s">
        <v>45</v>
      </c>
      <c r="D21" s="16">
        <v>45345</v>
      </c>
      <c r="E21" s="16">
        <v>45460</v>
      </c>
      <c r="F21" s="16">
        <v>45460</v>
      </c>
      <c r="G21" s="2"/>
      <c r="H21" s="16"/>
      <c r="I21" s="16"/>
      <c r="J21" s="16"/>
      <c r="K21" s="4" t="s">
        <v>280</v>
      </c>
      <c r="L21" s="2" t="s">
        <v>11</v>
      </c>
      <c r="M21" s="2"/>
      <c r="N21" s="1"/>
      <c r="O21" s="1"/>
    </row>
    <row r="22" spans="1:15" ht="30" x14ac:dyDescent="0.25">
      <c r="A22" s="3" t="s">
        <v>111</v>
      </c>
      <c r="B22" s="10" t="s">
        <v>20</v>
      </c>
      <c r="C22" s="2" t="s">
        <v>49</v>
      </c>
      <c r="D22" s="16">
        <v>45712</v>
      </c>
      <c r="E22" s="16">
        <v>45854</v>
      </c>
      <c r="F22" s="16">
        <v>45854</v>
      </c>
      <c r="G22" s="16">
        <v>45861</v>
      </c>
      <c r="H22" s="16">
        <v>45891</v>
      </c>
      <c r="I22" s="16">
        <v>45896</v>
      </c>
      <c r="J22" s="16">
        <v>45896</v>
      </c>
      <c r="K22" s="29" t="s">
        <v>255</v>
      </c>
      <c r="L22" s="2" t="s">
        <v>11</v>
      </c>
      <c r="M22" s="2" t="s">
        <v>13</v>
      </c>
      <c r="N22" s="1">
        <f>TAB_DASHBOARD[[#This Row],[- 7 -
 CHIUSA]]-TAB_DASHBOARD[[#This Row],[- 1 -
INCARICO RICEVUTO]]</f>
        <v>184</v>
      </c>
      <c r="O22" s="1"/>
    </row>
    <row r="23" spans="1:15" hidden="1" x14ac:dyDescent="0.25">
      <c r="A23" s="28" t="s">
        <v>75</v>
      </c>
      <c r="B23" s="10" t="s">
        <v>20</v>
      </c>
      <c r="C23" s="2" t="s">
        <v>48</v>
      </c>
      <c r="D23" s="16">
        <v>45679</v>
      </c>
      <c r="E23" s="16">
        <v>45707</v>
      </c>
      <c r="F23" s="16">
        <v>45764</v>
      </c>
      <c r="G23" s="16">
        <v>45841</v>
      </c>
      <c r="H23" s="16">
        <v>45887</v>
      </c>
      <c r="I23" s="16">
        <v>45968</v>
      </c>
      <c r="J23" s="16"/>
      <c r="K23" s="39" t="s">
        <v>339</v>
      </c>
      <c r="L23" s="2" t="s">
        <v>10</v>
      </c>
      <c r="M23" s="2"/>
      <c r="N23" s="1"/>
      <c r="O23" s="1"/>
    </row>
    <row r="24" spans="1:15" ht="45" hidden="1" x14ac:dyDescent="0.25">
      <c r="A24" s="3" t="s">
        <v>76</v>
      </c>
      <c r="B24" s="10" t="s">
        <v>20</v>
      </c>
      <c r="C24" s="10" t="s">
        <v>45</v>
      </c>
      <c r="D24" s="16">
        <v>45582</v>
      </c>
      <c r="E24" s="16">
        <v>45608</v>
      </c>
      <c r="F24" s="16">
        <v>45609</v>
      </c>
      <c r="G24" s="2"/>
      <c r="H24" s="16"/>
      <c r="I24" s="16"/>
      <c r="J24" s="16"/>
      <c r="K24" s="4" t="s">
        <v>260</v>
      </c>
      <c r="L24" s="2" t="s">
        <v>11</v>
      </c>
      <c r="M24" s="2"/>
      <c r="N24" s="1"/>
      <c r="O24" s="1"/>
    </row>
    <row r="25" spans="1:15" ht="30" x14ac:dyDescent="0.25">
      <c r="A25" s="3" t="s">
        <v>80</v>
      </c>
      <c r="B25" s="10" t="s">
        <v>20</v>
      </c>
      <c r="C25" s="2" t="s">
        <v>49</v>
      </c>
      <c r="D25" s="16">
        <v>45264</v>
      </c>
      <c r="E25" s="16">
        <v>45433</v>
      </c>
      <c r="F25" s="16">
        <v>45433</v>
      </c>
      <c r="G25" s="16">
        <v>45749</v>
      </c>
      <c r="H25" s="16">
        <v>45769</v>
      </c>
      <c r="I25" s="16">
        <v>45769</v>
      </c>
      <c r="J25" s="16">
        <v>45770</v>
      </c>
      <c r="K25" s="4" t="s">
        <v>192</v>
      </c>
      <c r="L25" s="2" t="s">
        <v>11</v>
      </c>
      <c r="M25" s="2" t="s">
        <v>13</v>
      </c>
      <c r="N25" s="1">
        <f>TAB_DASHBOARD[[#This Row],[- 7 -
 CHIUSA]]-TAB_DASHBOARD[[#This Row],[- 1 -
INCARICO RICEVUTO]]</f>
        <v>506</v>
      </c>
      <c r="O25" s="1"/>
    </row>
    <row r="26" spans="1:15" x14ac:dyDescent="0.25">
      <c r="A26" s="3" t="s">
        <v>112</v>
      </c>
      <c r="B26" s="10" t="s">
        <v>20</v>
      </c>
      <c r="C26" s="10" t="s">
        <v>49</v>
      </c>
      <c r="D26" s="16">
        <v>45491</v>
      </c>
      <c r="E26" s="16">
        <v>45341</v>
      </c>
      <c r="F26" s="16">
        <v>45727</v>
      </c>
      <c r="G26" s="16">
        <v>45798</v>
      </c>
      <c r="H26" s="16">
        <v>45814</v>
      </c>
      <c r="I26" s="16">
        <v>45821</v>
      </c>
      <c r="J26" s="16">
        <v>45824</v>
      </c>
      <c r="K26" s="4" t="s">
        <v>231</v>
      </c>
      <c r="L26" s="2" t="s">
        <v>11</v>
      </c>
      <c r="M26" s="2" t="s">
        <v>13</v>
      </c>
      <c r="N26" s="1">
        <f>TAB_DASHBOARD[[#This Row],[- 7 -
 CHIUSA]]-TAB_DASHBOARD[[#This Row],[- 1 -
INCARICO RICEVUTO]]</f>
        <v>333</v>
      </c>
      <c r="O26" s="1"/>
    </row>
    <row r="27" spans="1:15" ht="30" hidden="1" x14ac:dyDescent="0.25">
      <c r="A27" s="3" t="s">
        <v>113</v>
      </c>
      <c r="B27" s="10" t="s">
        <v>20</v>
      </c>
      <c r="C27" s="10" t="s">
        <v>45</v>
      </c>
      <c r="D27" s="16">
        <v>45727</v>
      </c>
      <c r="E27" s="16">
        <v>45727</v>
      </c>
      <c r="F27" s="16">
        <v>45727</v>
      </c>
      <c r="G27" s="2"/>
      <c r="H27" s="16"/>
      <c r="I27" s="16"/>
      <c r="J27" s="16"/>
      <c r="K27" s="4" t="s">
        <v>215</v>
      </c>
      <c r="L27" s="2" t="s">
        <v>11</v>
      </c>
      <c r="M27" s="2"/>
      <c r="N27" s="1"/>
      <c r="O27" s="1"/>
    </row>
    <row r="28" spans="1:15" hidden="1" x14ac:dyDescent="0.25">
      <c r="A28" s="3" t="s">
        <v>130</v>
      </c>
      <c r="B28" s="10" t="s">
        <v>20</v>
      </c>
      <c r="C28" s="2" t="s">
        <v>46</v>
      </c>
      <c r="D28" s="16">
        <v>45947</v>
      </c>
      <c r="E28" s="16">
        <v>45958</v>
      </c>
      <c r="F28" s="16">
        <v>45958</v>
      </c>
      <c r="G28" s="16">
        <v>45961</v>
      </c>
      <c r="H28" s="16"/>
      <c r="I28" s="16"/>
      <c r="J28" s="16"/>
      <c r="K28" s="4"/>
      <c r="L28" s="2" t="s">
        <v>11</v>
      </c>
      <c r="M28" s="2"/>
      <c r="N28" s="1"/>
      <c r="O28" s="1"/>
    </row>
    <row r="29" spans="1:15" x14ac:dyDescent="0.25">
      <c r="A29" s="3" t="s">
        <v>128</v>
      </c>
      <c r="B29" s="10" t="s">
        <v>20</v>
      </c>
      <c r="C29" s="2" t="s">
        <v>49</v>
      </c>
      <c r="D29" s="16">
        <v>45790</v>
      </c>
      <c r="E29" s="16">
        <v>45793</v>
      </c>
      <c r="F29" s="16">
        <v>45793</v>
      </c>
      <c r="G29" s="16">
        <v>45855</v>
      </c>
      <c r="H29" s="16">
        <v>45889</v>
      </c>
      <c r="I29" s="16">
        <v>45894</v>
      </c>
      <c r="J29" s="16">
        <v>45896</v>
      </c>
      <c r="K29" s="31" t="s">
        <v>183</v>
      </c>
      <c r="L29" s="2" t="s">
        <v>11</v>
      </c>
      <c r="M29" s="2" t="s">
        <v>13</v>
      </c>
      <c r="N29" s="1">
        <f>TAB_DASHBOARD[[#This Row],[- 7 -
 CHIUSA]]-TAB_DASHBOARD[[#This Row],[- 1 -
INCARICO RICEVUTO]]</f>
        <v>106</v>
      </c>
      <c r="O29" s="1"/>
    </row>
    <row r="30" spans="1:15" hidden="1" x14ac:dyDescent="0.25">
      <c r="A30" s="3" t="s">
        <v>129</v>
      </c>
      <c r="B30" s="10" t="s">
        <v>20</v>
      </c>
      <c r="C30" s="2" t="s">
        <v>43</v>
      </c>
      <c r="D30" s="16">
        <v>45828</v>
      </c>
      <c r="E30" s="16"/>
      <c r="F30" s="16"/>
      <c r="G30" s="2"/>
      <c r="H30" s="16"/>
      <c r="I30" s="16"/>
      <c r="J30" s="16"/>
      <c r="K30" s="4"/>
      <c r="L30" s="2" t="s">
        <v>11</v>
      </c>
      <c r="M30" s="2"/>
      <c r="N30" s="1"/>
      <c r="O30" s="1"/>
    </row>
    <row r="31" spans="1:15" ht="30" x14ac:dyDescent="0.25">
      <c r="A31" s="3" t="s">
        <v>68</v>
      </c>
      <c r="B31" s="10" t="s">
        <v>20</v>
      </c>
      <c r="C31" s="2" t="s">
        <v>49</v>
      </c>
      <c r="D31" s="16">
        <v>45706</v>
      </c>
      <c r="E31" s="16">
        <v>45727</v>
      </c>
      <c r="F31" s="16">
        <v>45727</v>
      </c>
      <c r="G31" s="16">
        <v>45750</v>
      </c>
      <c r="H31" s="16">
        <v>45783</v>
      </c>
      <c r="I31" s="16">
        <v>45784</v>
      </c>
      <c r="J31" s="16">
        <v>45785</v>
      </c>
      <c r="K31" s="4" t="s">
        <v>182</v>
      </c>
      <c r="L31" s="2" t="s">
        <v>10</v>
      </c>
      <c r="M31" s="2" t="s">
        <v>13</v>
      </c>
      <c r="N31" s="1">
        <f>TAB_DASHBOARD[[#This Row],[- 7 -
 CHIUSA]]-TAB_DASHBOARD[[#This Row],[- 1 -
INCARICO RICEVUTO]]</f>
        <v>79</v>
      </c>
      <c r="O31" s="1"/>
    </row>
    <row r="32" spans="1:15" x14ac:dyDescent="0.25">
      <c r="A32" s="3" t="s">
        <v>18</v>
      </c>
      <c r="B32" s="10" t="s">
        <v>20</v>
      </c>
      <c r="C32" s="10" t="s">
        <v>49</v>
      </c>
      <c r="D32" s="16">
        <v>45708</v>
      </c>
      <c r="E32" s="16">
        <v>45727</v>
      </c>
      <c r="F32" s="16">
        <v>45747</v>
      </c>
      <c r="G32" s="16">
        <v>45800</v>
      </c>
      <c r="H32" s="16">
        <v>45859</v>
      </c>
      <c r="I32" s="16">
        <v>45867</v>
      </c>
      <c r="J32" s="16">
        <v>45880</v>
      </c>
      <c r="K32" s="29" t="s">
        <v>248</v>
      </c>
      <c r="L32" s="2" t="s">
        <v>10</v>
      </c>
      <c r="M32" s="2" t="s">
        <v>13</v>
      </c>
      <c r="N32" s="1">
        <f>TAB_DASHBOARD[[#This Row],[- 7 -
 CHIUSA]]-TAB_DASHBOARD[[#This Row],[- 1 -
INCARICO RICEVUTO]]</f>
        <v>172</v>
      </c>
      <c r="O32" s="1"/>
    </row>
    <row r="33" spans="1:15" hidden="1" x14ac:dyDescent="0.25">
      <c r="A33" s="3" t="s">
        <v>257</v>
      </c>
      <c r="B33" s="10" t="s">
        <v>20</v>
      </c>
      <c r="C33" s="2" t="s">
        <v>43</v>
      </c>
      <c r="D33" s="16">
        <v>45931</v>
      </c>
      <c r="E33" s="16"/>
      <c r="F33" s="16"/>
      <c r="G33" s="16"/>
      <c r="H33" s="16"/>
      <c r="I33" s="16"/>
      <c r="J33" s="16"/>
      <c r="K33" s="4"/>
      <c r="L33" s="2" t="s">
        <v>10</v>
      </c>
      <c r="M33" s="2"/>
      <c r="N33" s="1"/>
      <c r="O33" s="1"/>
    </row>
    <row r="34" spans="1:15" x14ac:dyDescent="0.25">
      <c r="A34" s="3" t="s">
        <v>77</v>
      </c>
      <c r="B34" s="10" t="s">
        <v>20</v>
      </c>
      <c r="C34" s="2" t="s">
        <v>49</v>
      </c>
      <c r="D34" s="16">
        <v>45530</v>
      </c>
      <c r="E34" s="16">
        <v>45573</v>
      </c>
      <c r="F34" s="16"/>
      <c r="G34" s="16">
        <v>45715</v>
      </c>
      <c r="H34" s="16">
        <v>45726</v>
      </c>
      <c r="I34" s="16">
        <v>45744</v>
      </c>
      <c r="J34" s="16">
        <v>45744</v>
      </c>
      <c r="K34" s="4"/>
      <c r="L34" s="2" t="s">
        <v>11</v>
      </c>
      <c r="M34" s="2" t="s">
        <v>13</v>
      </c>
      <c r="N34" s="1">
        <f>TAB_DASHBOARD[[#This Row],[- 7 -
 CHIUSA]]-TAB_DASHBOARD[[#This Row],[- 1 -
INCARICO RICEVUTO]]</f>
        <v>214</v>
      </c>
      <c r="O34" s="1"/>
    </row>
    <row r="35" spans="1:15" hidden="1" x14ac:dyDescent="0.25">
      <c r="A35" s="3" t="s">
        <v>133</v>
      </c>
      <c r="B35" s="10" t="s">
        <v>20</v>
      </c>
      <c r="C35" s="2" t="s">
        <v>45</v>
      </c>
      <c r="D35" s="16">
        <v>45930</v>
      </c>
      <c r="E35" s="16">
        <v>45930</v>
      </c>
      <c r="F35" s="16">
        <v>45930</v>
      </c>
      <c r="G35" s="2"/>
      <c r="H35" s="16"/>
      <c r="I35" s="16"/>
      <c r="J35" s="16"/>
      <c r="K35" s="4"/>
      <c r="L35" s="2" t="s">
        <v>10</v>
      </c>
      <c r="M35" s="2"/>
      <c r="N35" s="1"/>
      <c r="O35" s="1"/>
    </row>
    <row r="36" spans="1:15" x14ac:dyDescent="0.25">
      <c r="A36" s="3" t="s">
        <v>78</v>
      </c>
      <c r="B36" s="10" t="s">
        <v>20</v>
      </c>
      <c r="C36" s="10" t="s">
        <v>49</v>
      </c>
      <c r="D36" s="16">
        <v>45673</v>
      </c>
      <c r="E36" s="16">
        <v>45803</v>
      </c>
      <c r="F36" s="16">
        <v>45803</v>
      </c>
      <c r="G36" s="16">
        <v>45814</v>
      </c>
      <c r="H36" s="16">
        <v>45820</v>
      </c>
      <c r="I36" s="16">
        <v>45821</v>
      </c>
      <c r="J36" s="16">
        <v>45824</v>
      </c>
      <c r="K36" s="29" t="s">
        <v>208</v>
      </c>
      <c r="L36" s="2" t="s">
        <v>10</v>
      </c>
      <c r="M36" s="2" t="s">
        <v>13</v>
      </c>
      <c r="N36" s="1">
        <f>TAB_DASHBOARD[[#This Row],[- 7 -
 CHIUSA]]-TAB_DASHBOARD[[#This Row],[- 1 -
INCARICO RICEVUTO]]</f>
        <v>151</v>
      </c>
      <c r="O36" s="1"/>
    </row>
    <row r="37" spans="1:15" ht="30" hidden="1" x14ac:dyDescent="0.25">
      <c r="A37" s="3" t="s">
        <v>132</v>
      </c>
      <c r="B37" s="10" t="s">
        <v>20</v>
      </c>
      <c r="C37" s="10" t="s">
        <v>45</v>
      </c>
      <c r="D37" s="16">
        <v>45758</v>
      </c>
      <c r="E37" s="16">
        <v>45834</v>
      </c>
      <c r="F37" s="16">
        <v>45839</v>
      </c>
      <c r="G37" s="2"/>
      <c r="H37" s="16"/>
      <c r="I37" s="16"/>
      <c r="J37" s="16"/>
      <c r="K37" s="4" t="s">
        <v>259</v>
      </c>
      <c r="L37" s="2" t="s">
        <v>10</v>
      </c>
      <c r="M37" s="2"/>
      <c r="N37" s="1"/>
      <c r="O37" s="1"/>
    </row>
    <row r="38" spans="1:15" ht="45" hidden="1" x14ac:dyDescent="0.25">
      <c r="A38" s="3" t="s">
        <v>79</v>
      </c>
      <c r="B38" s="10" t="s">
        <v>20</v>
      </c>
      <c r="C38" s="10" t="s">
        <v>2</v>
      </c>
      <c r="D38" s="16">
        <v>45455</v>
      </c>
      <c r="E38" s="16">
        <v>45534</v>
      </c>
      <c r="F38" s="16">
        <v>45534</v>
      </c>
      <c r="G38" s="2"/>
      <c r="H38" s="16"/>
      <c r="I38" s="16"/>
      <c r="J38" s="16"/>
      <c r="K38" s="4" t="s">
        <v>319</v>
      </c>
      <c r="L38" s="2" t="s">
        <v>11</v>
      </c>
      <c r="M38" s="2"/>
      <c r="N38" s="1"/>
      <c r="O38" s="1"/>
    </row>
    <row r="39" spans="1:15" ht="30" hidden="1" x14ac:dyDescent="0.25">
      <c r="A39" s="3" t="s">
        <v>306</v>
      </c>
      <c r="B39" s="10" t="s">
        <v>20</v>
      </c>
      <c r="C39" s="2" t="s">
        <v>46</v>
      </c>
      <c r="D39" s="16">
        <v>45931</v>
      </c>
      <c r="E39" s="16">
        <v>45951</v>
      </c>
      <c r="F39" s="16">
        <v>45951</v>
      </c>
      <c r="G39" s="16">
        <v>45954</v>
      </c>
      <c r="H39" s="16"/>
      <c r="I39" s="16"/>
      <c r="J39" s="16"/>
      <c r="K39" s="34" t="s">
        <v>208</v>
      </c>
      <c r="L39" s="2" t="s">
        <v>10</v>
      </c>
      <c r="M39" s="2"/>
      <c r="N39" s="1"/>
      <c r="O39" s="1"/>
    </row>
    <row r="40" spans="1:15" x14ac:dyDescent="0.25">
      <c r="A40" s="3" t="s">
        <v>219</v>
      </c>
      <c r="B40" s="10" t="s">
        <v>20</v>
      </c>
      <c r="C40" s="10" t="s">
        <v>49</v>
      </c>
      <c r="D40" s="16">
        <v>45735</v>
      </c>
      <c r="E40" s="16">
        <v>45775</v>
      </c>
      <c r="F40" s="16">
        <v>45775</v>
      </c>
      <c r="G40" s="16">
        <v>45789</v>
      </c>
      <c r="H40" s="16">
        <v>45811</v>
      </c>
      <c r="I40" s="16">
        <v>45812</v>
      </c>
      <c r="J40" s="16">
        <v>45814</v>
      </c>
      <c r="K40" s="29" t="s">
        <v>212</v>
      </c>
      <c r="L40" s="2" t="s">
        <v>11</v>
      </c>
      <c r="M40" s="2" t="s">
        <v>13</v>
      </c>
      <c r="N40" s="1">
        <f>TAB_DASHBOARD[[#This Row],[- 7 -
 CHIUSA]]-TAB_DASHBOARD[[#This Row],[- 1 -
INCARICO RICEVUTO]]</f>
        <v>79</v>
      </c>
      <c r="O40" s="1"/>
    </row>
    <row r="41" spans="1:15" ht="30" x14ac:dyDescent="0.25">
      <c r="A41" s="3" t="s">
        <v>134</v>
      </c>
      <c r="B41" s="10" t="s">
        <v>20</v>
      </c>
      <c r="C41" s="2" t="s">
        <v>49</v>
      </c>
      <c r="D41" s="16">
        <v>45569</v>
      </c>
      <c r="E41" s="16">
        <v>45707</v>
      </c>
      <c r="F41" s="16">
        <v>45762</v>
      </c>
      <c r="G41" s="16">
        <v>45765</v>
      </c>
      <c r="H41" s="16">
        <v>45789</v>
      </c>
      <c r="I41" s="16">
        <v>45806</v>
      </c>
      <c r="J41" s="16">
        <v>45807</v>
      </c>
      <c r="K41" s="29" t="s">
        <v>204</v>
      </c>
      <c r="L41" s="2" t="s">
        <v>10</v>
      </c>
      <c r="M41" s="2" t="s">
        <v>13</v>
      </c>
      <c r="N41" s="1">
        <f>TAB_DASHBOARD[[#This Row],[- 7 -
 CHIUSA]]-TAB_DASHBOARD[[#This Row],[- 1 -
INCARICO RICEVUTO]]</f>
        <v>238</v>
      </c>
      <c r="O41" s="1"/>
    </row>
    <row r="42" spans="1:15" hidden="1" x14ac:dyDescent="0.25">
      <c r="A42" s="3" t="s">
        <v>308</v>
      </c>
      <c r="B42" s="10" t="s">
        <v>20</v>
      </c>
      <c r="C42" s="10" t="s">
        <v>45</v>
      </c>
      <c r="D42" s="16">
        <v>45861</v>
      </c>
      <c r="E42" s="16">
        <v>45933</v>
      </c>
      <c r="F42" s="16">
        <v>45933</v>
      </c>
      <c r="G42" s="16"/>
      <c r="H42" s="16"/>
      <c r="I42" s="16"/>
      <c r="J42" s="16"/>
      <c r="K42" s="4"/>
      <c r="L42" s="2" t="s">
        <v>10</v>
      </c>
      <c r="M42" s="2"/>
      <c r="N42" s="1"/>
      <c r="O42" s="1"/>
    </row>
    <row r="43" spans="1:15" ht="30" x14ac:dyDescent="0.25">
      <c r="A43" s="3" t="s">
        <v>194</v>
      </c>
      <c r="B43" s="10" t="s">
        <v>20</v>
      </c>
      <c r="C43" s="2" t="s">
        <v>49</v>
      </c>
      <c r="D43" s="16">
        <v>45733</v>
      </c>
      <c r="E43" s="16">
        <v>45757</v>
      </c>
      <c r="F43" s="16">
        <v>45761</v>
      </c>
      <c r="G43" s="16">
        <v>45764</v>
      </c>
      <c r="H43" s="16">
        <v>45783</v>
      </c>
      <c r="I43" s="16">
        <v>45789</v>
      </c>
      <c r="J43" s="16">
        <v>45796</v>
      </c>
      <c r="K43" s="4" t="s">
        <v>198</v>
      </c>
      <c r="L43" s="2" t="s">
        <v>11</v>
      </c>
      <c r="M43" s="2" t="s">
        <v>13</v>
      </c>
      <c r="N43" s="1">
        <f>TAB_DASHBOARD[[#This Row],[- 7 -
 CHIUSA]]-TAB_DASHBOARD[[#This Row],[- 1 -
INCARICO RICEVUTO]]</f>
        <v>63</v>
      </c>
      <c r="O43" s="1"/>
    </row>
    <row r="44" spans="1:15" ht="30" x14ac:dyDescent="0.25">
      <c r="A44" s="3" t="s">
        <v>116</v>
      </c>
      <c r="B44" s="10" t="s">
        <v>20</v>
      </c>
      <c r="C44" s="2" t="s">
        <v>49</v>
      </c>
      <c r="D44" s="16">
        <v>45733</v>
      </c>
      <c r="E44" s="16">
        <v>45757</v>
      </c>
      <c r="F44" s="16">
        <v>45761</v>
      </c>
      <c r="G44" s="16">
        <v>45764</v>
      </c>
      <c r="H44" s="16">
        <v>45783</v>
      </c>
      <c r="I44" s="16">
        <v>45789</v>
      </c>
      <c r="J44" s="16">
        <v>45796</v>
      </c>
      <c r="K44" s="8" t="s">
        <v>207</v>
      </c>
      <c r="L44" s="2" t="s">
        <v>11</v>
      </c>
      <c r="M44" s="2" t="s">
        <v>13</v>
      </c>
      <c r="N44" s="1">
        <f>TAB_DASHBOARD[[#This Row],[- 7 -
 CHIUSA]]-TAB_DASHBOARD[[#This Row],[- 1 -
INCARICO RICEVUTO]]</f>
        <v>63</v>
      </c>
      <c r="O44" s="1"/>
    </row>
    <row r="45" spans="1:15" hidden="1" x14ac:dyDescent="0.25">
      <c r="A45" s="3" t="s">
        <v>136</v>
      </c>
      <c r="B45" s="10" t="s">
        <v>20</v>
      </c>
      <c r="C45" s="2" t="s">
        <v>43</v>
      </c>
      <c r="D45" s="16">
        <v>45968</v>
      </c>
      <c r="E45" s="16"/>
      <c r="F45" s="16"/>
      <c r="G45" s="2"/>
      <c r="H45" s="16"/>
      <c r="I45" s="16"/>
      <c r="J45" s="16"/>
      <c r="K45" s="4"/>
      <c r="L45" s="2" t="s">
        <v>11</v>
      </c>
      <c r="M45" s="2"/>
      <c r="N45" s="1"/>
      <c r="O45" s="1"/>
    </row>
    <row r="46" spans="1:15" hidden="1" x14ac:dyDescent="0.25">
      <c r="A46" s="3" t="s">
        <v>312</v>
      </c>
      <c r="B46" s="10" t="s">
        <v>20</v>
      </c>
      <c r="C46" s="2" t="s">
        <v>43</v>
      </c>
      <c r="D46" s="16">
        <v>45951</v>
      </c>
      <c r="E46" s="16"/>
      <c r="F46" s="16"/>
      <c r="G46" s="2"/>
      <c r="H46" s="16"/>
      <c r="I46" s="16"/>
      <c r="J46" s="16"/>
      <c r="K46" s="4"/>
      <c r="L46" s="2" t="s">
        <v>11</v>
      </c>
      <c r="M46" s="2"/>
      <c r="N46" s="1"/>
      <c r="O46" s="1"/>
    </row>
    <row r="47" spans="1:15" hidden="1" x14ac:dyDescent="0.25">
      <c r="A47" s="3" t="s">
        <v>137</v>
      </c>
      <c r="B47" s="10" t="s">
        <v>20</v>
      </c>
      <c r="C47" s="10" t="s">
        <v>48</v>
      </c>
      <c r="D47" s="16">
        <v>45796</v>
      </c>
      <c r="E47" s="16">
        <v>45919</v>
      </c>
      <c r="F47" s="16">
        <v>45919</v>
      </c>
      <c r="G47" s="16">
        <v>45952</v>
      </c>
      <c r="H47" s="16">
        <v>45967</v>
      </c>
      <c r="I47" s="16">
        <v>45968</v>
      </c>
      <c r="J47" s="16"/>
      <c r="K47" s="34" t="s">
        <v>208</v>
      </c>
      <c r="L47" s="2" t="s">
        <v>11</v>
      </c>
      <c r="M47" s="2"/>
      <c r="N47" s="1"/>
      <c r="O47" s="1"/>
    </row>
    <row r="48" spans="1:15" x14ac:dyDescent="0.25">
      <c r="A48" s="3" t="s">
        <v>119</v>
      </c>
      <c r="B48" s="10" t="s">
        <v>20</v>
      </c>
      <c r="C48" s="2" t="s">
        <v>49</v>
      </c>
      <c r="D48" s="16">
        <v>45628</v>
      </c>
      <c r="E48" s="16">
        <v>45644</v>
      </c>
      <c r="F48" s="16">
        <v>45678</v>
      </c>
      <c r="G48" s="16">
        <v>45735</v>
      </c>
      <c r="H48" s="16">
        <v>45741</v>
      </c>
      <c r="I48" s="16">
        <v>45775</v>
      </c>
      <c r="J48" s="16">
        <v>45783</v>
      </c>
      <c r="K48" s="4" t="s">
        <v>200</v>
      </c>
      <c r="L48" s="2" t="s">
        <v>10</v>
      </c>
      <c r="M48" s="2" t="s">
        <v>13</v>
      </c>
      <c r="N48" s="1">
        <f>TAB_DASHBOARD[[#This Row],[- 7 -
 CHIUSA]]-TAB_DASHBOARD[[#This Row],[- 1 -
INCARICO RICEVUTO]]</f>
        <v>155</v>
      </c>
      <c r="O48" s="1"/>
    </row>
    <row r="49" spans="1:15" hidden="1" x14ac:dyDescent="0.25">
      <c r="A49" s="3" t="s">
        <v>138</v>
      </c>
      <c r="B49" s="10" t="s">
        <v>20</v>
      </c>
      <c r="C49" s="10" t="s">
        <v>43</v>
      </c>
      <c r="D49" s="16">
        <v>45819</v>
      </c>
      <c r="E49" s="16"/>
      <c r="F49" s="16"/>
      <c r="G49" s="2"/>
      <c r="H49" s="16"/>
      <c r="I49" s="16"/>
      <c r="J49" s="16"/>
      <c r="K49" s="4" t="s">
        <v>336</v>
      </c>
      <c r="L49" s="2" t="s">
        <v>10</v>
      </c>
      <c r="M49" s="2"/>
      <c r="N49" s="1"/>
      <c r="O49" s="1"/>
    </row>
    <row r="50" spans="1:15" x14ac:dyDescent="0.25">
      <c r="A50" s="3" t="s">
        <v>84</v>
      </c>
      <c r="B50" s="10" t="s">
        <v>20</v>
      </c>
      <c r="C50" s="2" t="s">
        <v>49</v>
      </c>
      <c r="D50" s="16">
        <v>45462</v>
      </c>
      <c r="E50" s="16">
        <v>45695</v>
      </c>
      <c r="F50" s="16">
        <v>45695</v>
      </c>
      <c r="G50" s="16">
        <v>45695</v>
      </c>
      <c r="H50" s="16">
        <v>45705</v>
      </c>
      <c r="I50" s="16">
        <v>45705</v>
      </c>
      <c r="J50" s="16">
        <v>45712</v>
      </c>
      <c r="K50" s="4"/>
      <c r="L50" s="2" t="s">
        <v>11</v>
      </c>
      <c r="M50" s="2" t="s">
        <v>13</v>
      </c>
      <c r="N50" s="1">
        <f>TAB_DASHBOARD[[#This Row],[- 7 -
 CHIUSA]]-TAB_DASHBOARD[[#This Row],[- 1 -
INCARICO RICEVUTO]]</f>
        <v>250</v>
      </c>
      <c r="O50" s="1"/>
    </row>
    <row r="51" spans="1:15" x14ac:dyDescent="0.25">
      <c r="A51" s="3" t="s">
        <v>115</v>
      </c>
      <c r="B51" s="10" t="s">
        <v>20</v>
      </c>
      <c r="C51" s="2" t="s">
        <v>49</v>
      </c>
      <c r="D51" s="16">
        <v>45706</v>
      </c>
      <c r="E51" s="16">
        <v>45708</v>
      </c>
      <c r="F51" s="16">
        <v>45708</v>
      </c>
      <c r="G51" s="16">
        <v>45725</v>
      </c>
      <c r="H51" s="16">
        <v>45741</v>
      </c>
      <c r="I51" s="16">
        <v>45741</v>
      </c>
      <c r="J51" s="16">
        <v>45744</v>
      </c>
      <c r="K51" s="4"/>
      <c r="L51" s="2" t="s">
        <v>10</v>
      </c>
      <c r="M51" s="2" t="s">
        <v>13</v>
      </c>
      <c r="N51" s="1">
        <f>TAB_DASHBOARD[[#This Row],[- 7 -
 CHIUSA]]-TAB_DASHBOARD[[#This Row],[- 1 -
INCARICO RICEVUTO]]</f>
        <v>38</v>
      </c>
      <c r="O51" s="1"/>
    </row>
    <row r="52" spans="1:15" ht="30" x14ac:dyDescent="0.25">
      <c r="A52" s="3" t="s">
        <v>31</v>
      </c>
      <c r="B52" s="10" t="s">
        <v>20</v>
      </c>
      <c r="C52" s="2" t="s">
        <v>49</v>
      </c>
      <c r="D52" s="16">
        <v>45684</v>
      </c>
      <c r="E52" s="16">
        <v>45737</v>
      </c>
      <c r="F52" s="16">
        <v>45737</v>
      </c>
      <c r="G52" s="16">
        <v>45737</v>
      </c>
      <c r="H52" s="16">
        <v>45754</v>
      </c>
      <c r="I52" s="16">
        <v>45756</v>
      </c>
      <c r="J52" s="16">
        <v>45761</v>
      </c>
      <c r="K52" s="4" t="s">
        <v>180</v>
      </c>
      <c r="L52" s="2" t="s">
        <v>11</v>
      </c>
      <c r="M52" s="2" t="s">
        <v>13</v>
      </c>
      <c r="N52" s="1">
        <f>TAB_DASHBOARD[[#This Row],[- 7 -
 CHIUSA]]-TAB_DASHBOARD[[#This Row],[- 1 -
INCARICO RICEVUTO]]</f>
        <v>77</v>
      </c>
      <c r="O52" s="1"/>
    </row>
    <row r="53" spans="1:15" x14ac:dyDescent="0.25">
      <c r="A53" s="3" t="s">
        <v>15</v>
      </c>
      <c r="B53" s="10" t="s">
        <v>20</v>
      </c>
      <c r="C53" s="2" t="s">
        <v>49</v>
      </c>
      <c r="D53" s="16">
        <v>45628</v>
      </c>
      <c r="E53" s="16">
        <v>45628</v>
      </c>
      <c r="F53" s="16">
        <v>45628</v>
      </c>
      <c r="G53" s="16">
        <v>45747</v>
      </c>
      <c r="H53" s="16">
        <v>45761</v>
      </c>
      <c r="I53" s="16">
        <v>45762</v>
      </c>
      <c r="J53" s="16">
        <v>45762</v>
      </c>
      <c r="K53" s="29" t="s">
        <v>183</v>
      </c>
      <c r="L53" s="2" t="s">
        <v>10</v>
      </c>
      <c r="M53" s="2" t="s">
        <v>13</v>
      </c>
      <c r="N53" s="1">
        <f>TAB_DASHBOARD[[#This Row],[- 7 -
 CHIUSA]]-TAB_DASHBOARD[[#This Row],[- 1 -
INCARICO RICEVUTO]]</f>
        <v>134</v>
      </c>
      <c r="O53" s="1"/>
    </row>
    <row r="54" spans="1:15" ht="45" hidden="1" x14ac:dyDescent="0.25">
      <c r="A54" s="3" t="s">
        <v>59</v>
      </c>
      <c r="B54" s="10" t="s">
        <v>20</v>
      </c>
      <c r="C54" s="10" t="s">
        <v>45</v>
      </c>
      <c r="D54" s="16">
        <v>45453</v>
      </c>
      <c r="E54" s="16">
        <v>45469</v>
      </c>
      <c r="F54" s="16">
        <v>45926</v>
      </c>
      <c r="G54" s="2"/>
      <c r="H54" s="16"/>
      <c r="I54" s="16"/>
      <c r="J54" s="16"/>
      <c r="K54" s="4" t="s">
        <v>304</v>
      </c>
      <c r="L54" s="2" t="s">
        <v>10</v>
      </c>
      <c r="M54" s="2"/>
      <c r="N54" s="1"/>
      <c r="O54" s="1"/>
    </row>
    <row r="55" spans="1:15" hidden="1" x14ac:dyDescent="0.25">
      <c r="A55" s="3" t="s">
        <v>245</v>
      </c>
      <c r="B55" s="10" t="s">
        <v>20</v>
      </c>
      <c r="C55" s="10" t="s">
        <v>46</v>
      </c>
      <c r="D55" s="16">
        <v>45845</v>
      </c>
      <c r="E55" s="16">
        <v>45869</v>
      </c>
      <c r="F55" s="16">
        <v>45869</v>
      </c>
      <c r="G55" s="16">
        <v>45952</v>
      </c>
      <c r="H55" s="16"/>
      <c r="I55" s="16"/>
      <c r="J55" s="16"/>
      <c r="K55" s="34" t="s">
        <v>282</v>
      </c>
      <c r="L55" s="2" t="s">
        <v>10</v>
      </c>
      <c r="M55" s="2"/>
      <c r="N55" s="1"/>
      <c r="O55" s="1"/>
    </row>
    <row r="56" spans="1:15" x14ac:dyDescent="0.25">
      <c r="A56" s="3" t="s">
        <v>16</v>
      </c>
      <c r="B56" s="10" t="s">
        <v>20</v>
      </c>
      <c r="C56" s="2" t="s">
        <v>49</v>
      </c>
      <c r="D56" s="16">
        <v>45722</v>
      </c>
      <c r="E56" s="16">
        <v>45727</v>
      </c>
      <c r="F56" s="16">
        <v>45728</v>
      </c>
      <c r="G56" s="16">
        <v>45740</v>
      </c>
      <c r="H56" s="16">
        <v>45755</v>
      </c>
      <c r="I56" s="16">
        <v>45757</v>
      </c>
      <c r="J56" s="16">
        <v>45761</v>
      </c>
      <c r="K56" s="29" t="s">
        <v>178</v>
      </c>
      <c r="L56" s="2" t="s">
        <v>10</v>
      </c>
      <c r="M56" s="2" t="s">
        <v>13</v>
      </c>
      <c r="N56" s="1">
        <f>TAB_DASHBOARD[[#This Row],[- 7 -
 CHIUSA]]-TAB_DASHBOARD[[#This Row],[- 1 -
INCARICO RICEVUTO]]</f>
        <v>39</v>
      </c>
      <c r="O56" s="1"/>
    </row>
    <row r="57" spans="1:15" ht="30" x14ac:dyDescent="0.25">
      <c r="A57" s="3" t="s">
        <v>284</v>
      </c>
      <c r="B57" s="10" t="s">
        <v>20</v>
      </c>
      <c r="C57" s="10" t="s">
        <v>49</v>
      </c>
      <c r="D57" s="16">
        <v>45840</v>
      </c>
      <c r="E57" s="16">
        <v>45902</v>
      </c>
      <c r="F57" s="16">
        <v>45902</v>
      </c>
      <c r="G57" s="16">
        <v>45905</v>
      </c>
      <c r="H57" s="16">
        <v>45908</v>
      </c>
      <c r="I57" s="16">
        <v>45909</v>
      </c>
      <c r="J57" s="16">
        <v>45919</v>
      </c>
      <c r="K57" s="35" t="s">
        <v>282</v>
      </c>
      <c r="L57" s="2" t="s">
        <v>10</v>
      </c>
      <c r="M57" s="2" t="s">
        <v>13</v>
      </c>
      <c r="N57" s="1">
        <f>TAB_DASHBOARD[[#This Row],[- 7 -
 CHIUSA]]-TAB_DASHBOARD[[#This Row],[- 1 -
INCARICO RICEVUTO]]</f>
        <v>79</v>
      </c>
      <c r="O57" s="1"/>
    </row>
    <row r="58" spans="1:15" x14ac:dyDescent="0.25">
      <c r="A58" s="3" t="s">
        <v>87</v>
      </c>
      <c r="B58" s="10" t="s">
        <v>20</v>
      </c>
      <c r="C58" s="10" t="s">
        <v>49</v>
      </c>
      <c r="D58" s="16">
        <v>45714</v>
      </c>
      <c r="E58" s="16">
        <v>45714</v>
      </c>
      <c r="F58" s="16">
        <v>45714</v>
      </c>
      <c r="G58" s="16">
        <v>45789</v>
      </c>
      <c r="H58" s="16">
        <v>45813</v>
      </c>
      <c r="I58" s="16">
        <v>45818</v>
      </c>
      <c r="J58" s="16">
        <v>45824</v>
      </c>
      <c r="K58" s="29" t="s">
        <v>208</v>
      </c>
      <c r="L58" s="2" t="s">
        <v>10</v>
      </c>
      <c r="M58" s="2" t="s">
        <v>13</v>
      </c>
      <c r="N58" s="1">
        <f>TAB_DASHBOARD[[#This Row],[- 7 -
 CHIUSA]]-TAB_DASHBOARD[[#This Row],[- 1 -
INCARICO RICEVUTO]]</f>
        <v>110</v>
      </c>
      <c r="O58" s="1"/>
    </row>
    <row r="59" spans="1:15" ht="30" x14ac:dyDescent="0.25">
      <c r="A59" s="3" t="s">
        <v>67</v>
      </c>
      <c r="B59" s="10" t="s">
        <v>20</v>
      </c>
      <c r="C59" s="10" t="s">
        <v>49</v>
      </c>
      <c r="D59" s="16">
        <v>45678</v>
      </c>
      <c r="E59" s="16">
        <v>45783</v>
      </c>
      <c r="F59" s="16">
        <v>45783</v>
      </c>
      <c r="G59" s="16">
        <v>45799</v>
      </c>
      <c r="H59" s="16">
        <v>45814</v>
      </c>
      <c r="I59" s="16">
        <v>45821</v>
      </c>
      <c r="J59" s="16">
        <v>45824</v>
      </c>
      <c r="K59" s="4" t="s">
        <v>228</v>
      </c>
      <c r="L59" s="2" t="s">
        <v>11</v>
      </c>
      <c r="M59" s="2" t="s">
        <v>13</v>
      </c>
      <c r="N59" s="1">
        <f>TAB_DASHBOARD[[#This Row],[- 7 -
 CHIUSA]]-TAB_DASHBOARD[[#This Row],[- 1 -
INCARICO RICEVUTO]]</f>
        <v>146</v>
      </c>
      <c r="O59" s="1"/>
    </row>
    <row r="60" spans="1:15" x14ac:dyDescent="0.25">
      <c r="A60" s="3" t="s">
        <v>213</v>
      </c>
      <c r="B60" s="10" t="s">
        <v>20</v>
      </c>
      <c r="C60" s="10" t="s">
        <v>49</v>
      </c>
      <c r="D60" s="16">
        <v>45616</v>
      </c>
      <c r="E60" s="16">
        <v>45595</v>
      </c>
      <c r="F60" s="16">
        <v>45677</v>
      </c>
      <c r="G60" s="16">
        <v>45789</v>
      </c>
      <c r="H60" s="16">
        <v>45797</v>
      </c>
      <c r="I60" s="16">
        <v>45825</v>
      </c>
      <c r="J60" s="16">
        <v>45825</v>
      </c>
      <c r="K60" s="9" t="s">
        <v>232</v>
      </c>
      <c r="L60" s="2" t="s">
        <v>10</v>
      </c>
      <c r="M60" s="2" t="s">
        <v>13</v>
      </c>
      <c r="N60" s="1">
        <f>TAB_DASHBOARD[[#This Row],[- 7 -
 CHIUSA]]-TAB_DASHBOARD[[#This Row],[- 1 -
INCARICO RICEVUTO]]</f>
        <v>209</v>
      </c>
      <c r="O60" s="1"/>
    </row>
    <row r="61" spans="1:15" x14ac:dyDescent="0.25">
      <c r="A61" s="13" t="s">
        <v>140</v>
      </c>
      <c r="B61" s="10" t="s">
        <v>20</v>
      </c>
      <c r="C61" s="2" t="s">
        <v>49</v>
      </c>
      <c r="D61" s="21">
        <v>45425</v>
      </c>
      <c r="E61" s="21">
        <v>45855</v>
      </c>
      <c r="F61" s="21">
        <v>45855</v>
      </c>
      <c r="G61" s="21">
        <v>45905</v>
      </c>
      <c r="H61" s="21">
        <v>45929</v>
      </c>
      <c r="I61" s="21">
        <v>45931</v>
      </c>
      <c r="J61" s="21">
        <v>45950</v>
      </c>
      <c r="K61" s="36" t="s">
        <v>208</v>
      </c>
      <c r="L61" s="10" t="s">
        <v>11</v>
      </c>
      <c r="M61" s="10" t="s">
        <v>307</v>
      </c>
      <c r="N61" s="1">
        <f>TAB_DASHBOARD[[#This Row],[- 7 -
 CHIUSA]]-TAB_DASHBOARD[[#This Row],[- 1 -
INCARICO RICEVUTO]]</f>
        <v>525</v>
      </c>
      <c r="O61" s="1"/>
    </row>
    <row r="62" spans="1:15" hidden="1" x14ac:dyDescent="0.25">
      <c r="A62" s="3" t="s">
        <v>139</v>
      </c>
      <c r="B62" s="10" t="s">
        <v>20</v>
      </c>
      <c r="C62" s="2" t="s">
        <v>2</v>
      </c>
      <c r="D62" s="16">
        <v>45792</v>
      </c>
      <c r="E62" s="16">
        <v>45820</v>
      </c>
      <c r="F62" s="16">
        <v>45820</v>
      </c>
      <c r="G62" s="16">
        <v>45825</v>
      </c>
      <c r="H62" s="16"/>
      <c r="I62" s="16"/>
      <c r="J62" s="16"/>
      <c r="K62" s="4" t="s">
        <v>252</v>
      </c>
      <c r="L62" s="2" t="s">
        <v>11</v>
      </c>
      <c r="M62" s="2"/>
      <c r="N62" s="1"/>
      <c r="O62" s="1"/>
    </row>
    <row r="63" spans="1:15" hidden="1" x14ac:dyDescent="0.25">
      <c r="A63" s="3" t="s">
        <v>141</v>
      </c>
      <c r="B63" s="10" t="s">
        <v>20</v>
      </c>
      <c r="C63" s="2" t="s">
        <v>43</v>
      </c>
      <c r="D63" s="16">
        <v>45966</v>
      </c>
      <c r="E63" s="16"/>
      <c r="F63" s="16"/>
      <c r="G63" s="2"/>
      <c r="H63" s="16"/>
      <c r="I63" s="16"/>
      <c r="J63" s="16"/>
      <c r="K63" s="4"/>
      <c r="L63" s="2" t="s">
        <v>11</v>
      </c>
      <c r="M63" s="2"/>
      <c r="N63" s="1"/>
      <c r="O63" s="1"/>
    </row>
    <row r="64" spans="1:15" ht="30" x14ac:dyDescent="0.25">
      <c r="A64" s="3" t="s">
        <v>318</v>
      </c>
      <c r="B64" s="2" t="s">
        <v>20</v>
      </c>
      <c r="C64" s="2" t="s">
        <v>49</v>
      </c>
      <c r="D64" s="16">
        <v>45905</v>
      </c>
      <c r="E64" s="16">
        <v>45919</v>
      </c>
      <c r="F64" s="16">
        <v>45919</v>
      </c>
      <c r="G64" s="16">
        <v>45924</v>
      </c>
      <c r="H64" s="16">
        <v>45954</v>
      </c>
      <c r="I64" s="16">
        <v>45957</v>
      </c>
      <c r="J64" s="16">
        <v>45958</v>
      </c>
      <c r="K64" s="34" t="s">
        <v>208</v>
      </c>
      <c r="L64" s="2" t="s">
        <v>10</v>
      </c>
      <c r="M64" s="2" t="s">
        <v>307</v>
      </c>
      <c r="N64" s="1">
        <f>TAB_DASHBOARD[[#This Row],[- 7 -
 CHIUSA]]-TAB_DASHBOARD[[#This Row],[- 1 -
INCARICO RICEVUTO]]</f>
        <v>53</v>
      </c>
      <c r="O64" s="1"/>
    </row>
    <row r="65" spans="1:15" ht="30" x14ac:dyDescent="0.25">
      <c r="A65" s="37" t="s">
        <v>317</v>
      </c>
      <c r="B65" s="2" t="s">
        <v>20</v>
      </c>
      <c r="C65" s="2" t="s">
        <v>49</v>
      </c>
      <c r="D65" s="38">
        <v>45855</v>
      </c>
      <c r="E65" s="38">
        <v>45861</v>
      </c>
      <c r="F65" s="38">
        <v>45861</v>
      </c>
      <c r="G65" s="38">
        <v>45926</v>
      </c>
      <c r="H65" s="38">
        <v>45957</v>
      </c>
      <c r="I65" s="38">
        <v>45957</v>
      </c>
      <c r="J65" s="38">
        <v>45958</v>
      </c>
      <c r="K65" s="34" t="s">
        <v>208</v>
      </c>
      <c r="L65" s="37" t="s">
        <v>10</v>
      </c>
      <c r="M65" s="2" t="s">
        <v>307</v>
      </c>
      <c r="N65" s="1">
        <f>TAB_DASHBOARD[[#This Row],[- 7 -
 CHIUSA]]-TAB_DASHBOARD[[#This Row],[- 1 -
INCARICO RICEVUTO]]</f>
        <v>103</v>
      </c>
      <c r="O65" s="1"/>
    </row>
    <row r="66" spans="1:15" x14ac:dyDescent="0.25">
      <c r="A66" s="20" t="s">
        <v>142</v>
      </c>
      <c r="B66" s="10" t="s">
        <v>20</v>
      </c>
      <c r="C66" s="2" t="s">
        <v>49</v>
      </c>
      <c r="D66" s="16">
        <v>45558</v>
      </c>
      <c r="E66" s="16">
        <v>45609</v>
      </c>
      <c r="F66" s="16">
        <v>45609</v>
      </c>
      <c r="G66" s="16">
        <v>45722</v>
      </c>
      <c r="H66" s="16">
        <v>45748</v>
      </c>
      <c r="I66" s="16">
        <v>45776</v>
      </c>
      <c r="J66" s="16">
        <v>45785</v>
      </c>
      <c r="K66" s="4" t="s">
        <v>199</v>
      </c>
      <c r="L66" s="2" t="s">
        <v>11</v>
      </c>
      <c r="M66" s="2" t="s">
        <v>13</v>
      </c>
      <c r="N66" s="1">
        <f>TAB_DASHBOARD[[#This Row],[- 7 -
 CHIUSA]]-TAB_DASHBOARD[[#This Row],[- 1 -
INCARICO RICEVUTO]]</f>
        <v>227</v>
      </c>
      <c r="O66" s="1"/>
    </row>
    <row r="67" spans="1:15" hidden="1" x14ac:dyDescent="0.25">
      <c r="A67" s="3" t="s">
        <v>143</v>
      </c>
      <c r="B67" s="10" t="s">
        <v>20</v>
      </c>
      <c r="C67" s="2" t="s">
        <v>45</v>
      </c>
      <c r="D67" s="16">
        <v>45959</v>
      </c>
      <c r="E67" s="16">
        <v>45967</v>
      </c>
      <c r="F67" s="16">
        <v>45967</v>
      </c>
      <c r="G67" s="2"/>
      <c r="H67" s="16"/>
      <c r="I67" s="16"/>
      <c r="J67" s="16"/>
      <c r="K67" s="4"/>
      <c r="L67" s="2" t="s">
        <v>10</v>
      </c>
      <c r="M67" s="2"/>
      <c r="N67" s="1"/>
      <c r="O67" s="1"/>
    </row>
    <row r="68" spans="1:15" hidden="1" x14ac:dyDescent="0.25">
      <c r="A68" s="3" t="s">
        <v>144</v>
      </c>
      <c r="B68" s="10" t="s">
        <v>20</v>
      </c>
      <c r="C68" s="2" t="s">
        <v>43</v>
      </c>
      <c r="D68" s="16">
        <v>45946</v>
      </c>
      <c r="E68" s="16"/>
      <c r="F68" s="16"/>
      <c r="G68" s="16"/>
      <c r="H68" s="16"/>
      <c r="I68" s="16"/>
      <c r="J68" s="16"/>
      <c r="K68" s="9"/>
      <c r="L68" s="2" t="s">
        <v>10</v>
      </c>
      <c r="M68" s="2"/>
      <c r="N68" s="1"/>
      <c r="O68" s="1"/>
    </row>
    <row r="69" spans="1:15" ht="30" hidden="1" x14ac:dyDescent="0.25">
      <c r="A69" s="3" t="s">
        <v>314</v>
      </c>
      <c r="B69" s="10" t="s">
        <v>20</v>
      </c>
      <c r="C69" s="2" t="s">
        <v>43</v>
      </c>
      <c r="D69" s="16">
        <v>45946</v>
      </c>
      <c r="E69" s="16"/>
      <c r="F69" s="16"/>
      <c r="G69" s="16"/>
      <c r="H69" s="16"/>
      <c r="I69" s="16"/>
      <c r="J69" s="16"/>
      <c r="K69" s="9"/>
      <c r="L69" s="2" t="s">
        <v>10</v>
      </c>
      <c r="M69" s="2"/>
      <c r="N69" s="1"/>
      <c r="O69" s="1"/>
    </row>
    <row r="70" spans="1:15" ht="30" hidden="1" x14ac:dyDescent="0.25">
      <c r="A70" s="3" t="s">
        <v>299</v>
      </c>
      <c r="B70" s="2" t="s">
        <v>20</v>
      </c>
      <c r="C70" s="24" t="s">
        <v>47</v>
      </c>
      <c r="D70" s="16">
        <v>45428</v>
      </c>
      <c r="E70" s="16">
        <v>45855</v>
      </c>
      <c r="F70" s="16">
        <v>45855</v>
      </c>
      <c r="G70" s="16">
        <v>45904</v>
      </c>
      <c r="H70" s="16">
        <v>45925</v>
      </c>
      <c r="I70" s="16"/>
      <c r="J70" s="16"/>
      <c r="K70" s="34" t="s">
        <v>282</v>
      </c>
      <c r="L70" s="2" t="s">
        <v>11</v>
      </c>
      <c r="M70" s="2"/>
      <c r="N70" s="1"/>
      <c r="O70" s="1"/>
    </row>
    <row r="71" spans="1:15" ht="30" hidden="1" x14ac:dyDescent="0.25">
      <c r="A71" s="3" t="s">
        <v>190</v>
      </c>
      <c r="B71" s="2" t="s">
        <v>20</v>
      </c>
      <c r="C71" s="24" t="s">
        <v>47</v>
      </c>
      <c r="D71" s="16">
        <v>45430</v>
      </c>
      <c r="E71" s="16">
        <v>45757</v>
      </c>
      <c r="F71" s="16">
        <v>45855</v>
      </c>
      <c r="G71" s="16">
        <v>45904</v>
      </c>
      <c r="H71" s="16">
        <v>45926</v>
      </c>
      <c r="I71" s="16"/>
      <c r="J71" s="16"/>
      <c r="K71" s="34" t="s">
        <v>208</v>
      </c>
      <c r="L71" s="2" t="s">
        <v>11</v>
      </c>
      <c r="M71" s="2"/>
      <c r="N71" s="1"/>
      <c r="O71" s="1"/>
    </row>
    <row r="72" spans="1:15" ht="30" x14ac:dyDescent="0.25">
      <c r="A72" s="3" t="s">
        <v>298</v>
      </c>
      <c r="B72" s="2" t="s">
        <v>20</v>
      </c>
      <c r="C72" s="24" t="s">
        <v>49</v>
      </c>
      <c r="D72" s="16">
        <v>45429</v>
      </c>
      <c r="E72" s="16">
        <v>45762</v>
      </c>
      <c r="F72" s="16">
        <v>45855</v>
      </c>
      <c r="G72" s="16">
        <v>45904</v>
      </c>
      <c r="H72" s="16">
        <v>45923</v>
      </c>
      <c r="I72" s="16">
        <v>45925</v>
      </c>
      <c r="J72" s="16">
        <v>45930</v>
      </c>
      <c r="K72" s="34" t="s">
        <v>292</v>
      </c>
      <c r="L72" s="2" t="s">
        <v>11</v>
      </c>
      <c r="M72" s="2" t="s">
        <v>13</v>
      </c>
      <c r="N72" s="1">
        <f>TAB_DASHBOARD[[#This Row],[- 7 -
 CHIUSA]]-TAB_DASHBOARD[[#This Row],[- 1 -
INCARICO RICEVUTO]]</f>
        <v>501</v>
      </c>
      <c r="O72" s="1"/>
    </row>
    <row r="73" spans="1:15" ht="30" hidden="1" x14ac:dyDescent="0.25">
      <c r="A73" s="3" t="s">
        <v>95</v>
      </c>
      <c r="B73" s="10" t="s">
        <v>20</v>
      </c>
      <c r="C73" s="10" t="s">
        <v>45</v>
      </c>
      <c r="D73" s="16">
        <v>45490</v>
      </c>
      <c r="E73" s="16">
        <v>45573</v>
      </c>
      <c r="F73" s="16">
        <v>45496</v>
      </c>
      <c r="G73" s="2"/>
      <c r="H73" s="16"/>
      <c r="I73" s="16"/>
      <c r="J73" s="16"/>
      <c r="K73" s="9" t="s">
        <v>261</v>
      </c>
      <c r="L73" s="2" t="s">
        <v>10</v>
      </c>
      <c r="M73" s="2"/>
      <c r="N73" s="1"/>
      <c r="O73" s="1"/>
    </row>
    <row r="74" spans="1:15" hidden="1" x14ac:dyDescent="0.25">
      <c r="A74" s="3" t="s">
        <v>145</v>
      </c>
      <c r="B74" s="2" t="s">
        <v>20</v>
      </c>
      <c r="C74" s="10" t="s">
        <v>47</v>
      </c>
      <c r="D74" s="16">
        <v>45866</v>
      </c>
      <c r="E74" s="16">
        <v>45943</v>
      </c>
      <c r="F74" s="16">
        <v>45943</v>
      </c>
      <c r="G74" s="16">
        <v>45943</v>
      </c>
      <c r="H74" s="16">
        <v>45967</v>
      </c>
      <c r="I74" s="16"/>
      <c r="J74" s="16"/>
      <c r="K74" s="34" t="s">
        <v>183</v>
      </c>
      <c r="L74" s="2" t="s">
        <v>10</v>
      </c>
      <c r="M74" s="2"/>
      <c r="N74" s="1"/>
      <c r="O74" s="1"/>
    </row>
    <row r="75" spans="1:15" hidden="1" x14ac:dyDescent="0.25">
      <c r="A75" s="3" t="s">
        <v>315</v>
      </c>
      <c r="B75" s="10" t="s">
        <v>20</v>
      </c>
      <c r="C75" s="2" t="s">
        <v>46</v>
      </c>
      <c r="D75" s="16">
        <v>45937</v>
      </c>
      <c r="E75" s="16">
        <v>45947</v>
      </c>
      <c r="F75" s="16">
        <v>45947</v>
      </c>
      <c r="G75" s="16">
        <v>45958</v>
      </c>
      <c r="H75" s="16"/>
      <c r="I75" s="16"/>
      <c r="J75" s="16"/>
      <c r="K75" s="34" t="s">
        <v>208</v>
      </c>
      <c r="L75" s="2" t="s">
        <v>11</v>
      </c>
      <c r="M75" s="2"/>
      <c r="N75" s="1"/>
      <c r="O75" s="1"/>
    </row>
    <row r="76" spans="1:15" ht="30" hidden="1" x14ac:dyDescent="0.25">
      <c r="A76" s="3" t="s">
        <v>146</v>
      </c>
      <c r="B76" s="10" t="s">
        <v>20</v>
      </c>
      <c r="C76" s="2" t="s">
        <v>43</v>
      </c>
      <c r="D76" s="16">
        <v>45936</v>
      </c>
      <c r="E76" s="16"/>
      <c r="F76" s="16"/>
      <c r="G76" s="16"/>
      <c r="H76" s="16"/>
      <c r="I76" s="16"/>
      <c r="J76" s="16"/>
      <c r="K76" s="4" t="s">
        <v>310</v>
      </c>
      <c r="L76" s="2" t="s">
        <v>10</v>
      </c>
      <c r="M76" s="2"/>
      <c r="N76" s="1"/>
      <c r="O76" s="1"/>
    </row>
    <row r="77" spans="1:15" hidden="1" x14ac:dyDescent="0.25">
      <c r="A77" s="3" t="s">
        <v>65</v>
      </c>
      <c r="B77" s="10" t="s">
        <v>20</v>
      </c>
      <c r="C77" s="10" t="s">
        <v>46</v>
      </c>
      <c r="D77" s="16">
        <v>45618</v>
      </c>
      <c r="E77" s="16">
        <v>45660</v>
      </c>
      <c r="F77" s="16">
        <v>45677</v>
      </c>
      <c r="G77" s="16">
        <v>45953</v>
      </c>
      <c r="H77" s="16"/>
      <c r="I77" s="16"/>
      <c r="J77" s="16"/>
      <c r="K77" s="34" t="s">
        <v>208</v>
      </c>
      <c r="L77" s="2" t="s">
        <v>11</v>
      </c>
      <c r="M77" s="2"/>
      <c r="N77" s="1"/>
      <c r="O77" s="1"/>
    </row>
    <row r="78" spans="1:15" hidden="1" x14ac:dyDescent="0.25">
      <c r="A78" s="3" t="s">
        <v>270</v>
      </c>
      <c r="B78" s="10" t="s">
        <v>20</v>
      </c>
      <c r="C78" s="10" t="s">
        <v>43</v>
      </c>
      <c r="D78" s="16">
        <v>45877</v>
      </c>
      <c r="E78" s="16"/>
      <c r="F78" s="16"/>
      <c r="G78" s="16"/>
      <c r="H78" s="16"/>
      <c r="I78" s="16"/>
      <c r="J78" s="16"/>
      <c r="K78" s="4" t="s">
        <v>271</v>
      </c>
      <c r="L78" s="2" t="s">
        <v>11</v>
      </c>
      <c r="M78" s="2"/>
      <c r="N78" s="1"/>
      <c r="O78" s="1"/>
    </row>
    <row r="79" spans="1:15" ht="30" hidden="1" x14ac:dyDescent="0.25">
      <c r="A79" s="3" t="s">
        <v>337</v>
      </c>
      <c r="B79" s="2" t="s">
        <v>20</v>
      </c>
      <c r="C79" s="2" t="s">
        <v>48</v>
      </c>
      <c r="D79" s="16">
        <v>45377</v>
      </c>
      <c r="E79" s="16">
        <v>45377</v>
      </c>
      <c r="F79" s="16">
        <v>45377</v>
      </c>
      <c r="G79" s="16">
        <v>45967</v>
      </c>
      <c r="H79" s="16">
        <v>45967</v>
      </c>
      <c r="I79" s="16">
        <v>45968</v>
      </c>
      <c r="J79" s="16"/>
      <c r="K79" s="12" t="s">
        <v>332</v>
      </c>
      <c r="L79" s="2" t="s">
        <v>10</v>
      </c>
      <c r="M79" s="2"/>
      <c r="N79" s="1"/>
      <c r="O79" s="1"/>
    </row>
    <row r="80" spans="1:15" hidden="1" x14ac:dyDescent="0.25">
      <c r="A80" s="3" t="s">
        <v>147</v>
      </c>
      <c r="B80" s="10" t="s">
        <v>20</v>
      </c>
      <c r="C80" s="2" t="s">
        <v>43</v>
      </c>
      <c r="D80" s="16">
        <v>45952</v>
      </c>
      <c r="E80" s="16"/>
      <c r="F80" s="16"/>
      <c r="G80" s="16"/>
      <c r="H80" s="16"/>
      <c r="I80" s="16"/>
      <c r="J80" s="16"/>
      <c r="K80" s="5"/>
      <c r="L80" s="2" t="s">
        <v>11</v>
      </c>
      <c r="M80" s="2"/>
      <c r="N80" s="1"/>
      <c r="O80" s="1"/>
    </row>
    <row r="81" spans="1:15" hidden="1" x14ac:dyDescent="0.25">
      <c r="A81" s="3" t="s">
        <v>268</v>
      </c>
      <c r="B81" s="10" t="s">
        <v>20</v>
      </c>
      <c r="C81" s="10" t="s">
        <v>43</v>
      </c>
      <c r="D81" s="16">
        <v>45875</v>
      </c>
      <c r="E81" s="16"/>
      <c r="F81" s="16"/>
      <c r="G81" s="16"/>
      <c r="H81" s="16"/>
      <c r="I81" s="16"/>
      <c r="J81" s="16"/>
      <c r="K81" s="4"/>
      <c r="L81" s="2" t="s">
        <v>10</v>
      </c>
      <c r="M81" s="2"/>
      <c r="N81" s="1"/>
      <c r="O81" s="1"/>
    </row>
    <row r="82" spans="1:15" hidden="1" x14ac:dyDescent="0.25">
      <c r="A82" s="3" t="s">
        <v>303</v>
      </c>
      <c r="B82" s="2" t="s">
        <v>20</v>
      </c>
      <c r="C82" s="2" t="s">
        <v>47</v>
      </c>
      <c r="D82" s="16">
        <v>45926</v>
      </c>
      <c r="E82" s="16">
        <v>45931</v>
      </c>
      <c r="F82" s="16">
        <v>45931</v>
      </c>
      <c r="G82" s="16">
        <v>45940</v>
      </c>
      <c r="H82" s="16">
        <v>45967</v>
      </c>
      <c r="I82" s="16"/>
      <c r="J82" s="16"/>
      <c r="K82" s="34" t="s">
        <v>183</v>
      </c>
      <c r="L82" s="2" t="s">
        <v>11</v>
      </c>
      <c r="M82" s="2"/>
      <c r="N82" s="1"/>
      <c r="O82" s="1"/>
    </row>
    <row r="83" spans="1:15" x14ac:dyDescent="0.25">
      <c r="A83" s="3" t="s">
        <v>40</v>
      </c>
      <c r="B83" s="10" t="s">
        <v>20</v>
      </c>
      <c r="C83" s="2" t="s">
        <v>49</v>
      </c>
      <c r="D83" s="16">
        <v>45595</v>
      </c>
      <c r="E83" s="16">
        <v>45675</v>
      </c>
      <c r="F83" s="16">
        <v>45675</v>
      </c>
      <c r="G83" s="16">
        <v>45675</v>
      </c>
      <c r="H83" s="16">
        <v>45684</v>
      </c>
      <c r="I83" s="16">
        <v>45701</v>
      </c>
      <c r="J83" s="16">
        <v>45701</v>
      </c>
      <c r="K83" s="4"/>
      <c r="L83" s="2" t="s">
        <v>11</v>
      </c>
      <c r="M83" s="2" t="s">
        <v>13</v>
      </c>
      <c r="N83" s="1">
        <f>TAB_DASHBOARD[[#This Row],[- 7 -
 CHIUSA]]-TAB_DASHBOARD[[#This Row],[- 1 -
INCARICO RICEVUTO]]</f>
        <v>106</v>
      </c>
      <c r="O83" s="1"/>
    </row>
    <row r="84" spans="1:15" x14ac:dyDescent="0.25">
      <c r="A84" s="3" t="s">
        <v>148</v>
      </c>
      <c r="B84" s="10" t="s">
        <v>20</v>
      </c>
      <c r="C84" s="2" t="s">
        <v>49</v>
      </c>
      <c r="D84" s="16">
        <v>45831</v>
      </c>
      <c r="E84" s="16">
        <v>45859</v>
      </c>
      <c r="F84" s="16">
        <v>45859</v>
      </c>
      <c r="G84" s="16">
        <v>45863</v>
      </c>
      <c r="H84" s="16">
        <v>45894</v>
      </c>
      <c r="I84" s="16">
        <v>45896</v>
      </c>
      <c r="J84" s="16">
        <v>45898</v>
      </c>
      <c r="K84" s="4"/>
      <c r="L84" s="2" t="s">
        <v>10</v>
      </c>
      <c r="M84" s="2" t="s">
        <v>13</v>
      </c>
      <c r="N84" s="1">
        <f>TAB_DASHBOARD[[#This Row],[- 7 -
 CHIUSA]]-TAB_DASHBOARD[[#This Row],[- 1 -
INCARICO RICEVUTO]]</f>
        <v>67</v>
      </c>
      <c r="O84" s="1"/>
    </row>
    <row r="85" spans="1:15" hidden="1" x14ac:dyDescent="0.25">
      <c r="A85" s="3" t="s">
        <v>331</v>
      </c>
      <c r="B85" s="10" t="s">
        <v>20</v>
      </c>
      <c r="C85" s="2" t="s">
        <v>45</v>
      </c>
      <c r="D85" s="16">
        <v>45961</v>
      </c>
      <c r="E85" s="16">
        <v>45964</v>
      </c>
      <c r="F85" s="16">
        <v>45964</v>
      </c>
      <c r="G85" s="2"/>
      <c r="H85" s="16"/>
      <c r="I85" s="16"/>
      <c r="J85" s="16"/>
      <c r="K85" s="4"/>
      <c r="L85" s="2" t="s">
        <v>10</v>
      </c>
      <c r="M85" s="2"/>
      <c r="N85" s="1"/>
      <c r="O85" s="1"/>
    </row>
    <row r="86" spans="1:15" x14ac:dyDescent="0.25">
      <c r="A86" s="3" t="s">
        <v>25</v>
      </c>
      <c r="B86" s="10" t="s">
        <v>20</v>
      </c>
      <c r="C86" s="17" t="s">
        <v>49</v>
      </c>
      <c r="D86" s="16">
        <v>45245</v>
      </c>
      <c r="E86" s="16"/>
      <c r="F86" s="16"/>
      <c r="G86" s="16">
        <v>44735</v>
      </c>
      <c r="H86" s="16"/>
      <c r="I86" s="16"/>
      <c r="J86" s="16"/>
      <c r="K86" s="4"/>
      <c r="L86" s="2" t="s">
        <v>11</v>
      </c>
      <c r="M86" s="2" t="s">
        <v>13</v>
      </c>
      <c r="N86" s="1"/>
      <c r="O86" s="1"/>
    </row>
    <row r="87" spans="1:15" ht="45" hidden="1" x14ac:dyDescent="0.25">
      <c r="A87" s="3" t="s">
        <v>97</v>
      </c>
      <c r="B87" s="10" t="s">
        <v>20</v>
      </c>
      <c r="C87" s="10" t="s">
        <v>2</v>
      </c>
      <c r="D87" s="16">
        <v>45493</v>
      </c>
      <c r="E87" s="16">
        <v>45538</v>
      </c>
      <c r="F87" s="16">
        <v>45538</v>
      </c>
      <c r="G87" s="16"/>
      <c r="H87" s="16"/>
      <c r="I87" s="16"/>
      <c r="J87" s="16"/>
      <c r="K87" s="5" t="s">
        <v>320</v>
      </c>
      <c r="L87" s="2" t="s">
        <v>11</v>
      </c>
      <c r="M87" s="2"/>
      <c r="N87" s="1"/>
      <c r="O87" s="1"/>
    </row>
    <row r="88" spans="1:15" hidden="1" x14ac:dyDescent="0.25">
      <c r="A88" s="3" t="s">
        <v>324</v>
      </c>
      <c r="B88" s="10" t="s">
        <v>20</v>
      </c>
      <c r="C88" s="2" t="s">
        <v>46</v>
      </c>
      <c r="D88" s="16">
        <v>45957</v>
      </c>
      <c r="E88" s="16"/>
      <c r="F88" s="16">
        <v>45959</v>
      </c>
      <c r="G88" s="16">
        <v>45965</v>
      </c>
      <c r="H88" s="16"/>
      <c r="I88" s="16"/>
      <c r="J88" s="16"/>
      <c r="K88" s="8" t="s">
        <v>335</v>
      </c>
      <c r="L88" s="2" t="s">
        <v>10</v>
      </c>
      <c r="M88" s="2"/>
      <c r="N88" s="1"/>
      <c r="O88" s="1"/>
    </row>
    <row r="89" spans="1:15" ht="30" hidden="1" x14ac:dyDescent="0.25">
      <c r="A89" s="3" t="s">
        <v>333</v>
      </c>
      <c r="B89" s="10" t="s">
        <v>20</v>
      </c>
      <c r="C89" s="2" t="s">
        <v>46</v>
      </c>
      <c r="D89" s="16">
        <v>45965</v>
      </c>
      <c r="E89" s="16">
        <v>45965</v>
      </c>
      <c r="F89" s="16">
        <v>45965</v>
      </c>
      <c r="G89" s="16">
        <v>45967</v>
      </c>
      <c r="H89" s="16"/>
      <c r="I89" s="16"/>
      <c r="J89" s="16"/>
      <c r="K89" s="29"/>
      <c r="L89" s="2"/>
      <c r="M89" s="2"/>
      <c r="N89" s="1"/>
      <c r="O89" s="1"/>
    </row>
    <row r="90" spans="1:15" ht="45" hidden="1" x14ac:dyDescent="0.25">
      <c r="A90" s="3" t="s">
        <v>96</v>
      </c>
      <c r="B90" s="10" t="s">
        <v>20</v>
      </c>
      <c r="C90" s="10" t="s">
        <v>2</v>
      </c>
      <c r="D90" s="16">
        <v>45330</v>
      </c>
      <c r="E90" s="16">
        <v>45330</v>
      </c>
      <c r="F90" s="16">
        <v>45330</v>
      </c>
      <c r="G90" s="16"/>
      <c r="H90" s="16"/>
      <c r="I90" s="16"/>
      <c r="J90" s="16"/>
      <c r="K90" s="4" t="s">
        <v>321</v>
      </c>
      <c r="L90" s="2" t="s">
        <v>10</v>
      </c>
      <c r="M90" s="2"/>
      <c r="N90" s="1"/>
      <c r="O90" s="1"/>
    </row>
    <row r="91" spans="1:15" x14ac:dyDescent="0.25">
      <c r="A91" s="3" t="s">
        <v>61</v>
      </c>
      <c r="B91" s="10" t="s">
        <v>20</v>
      </c>
      <c r="C91" s="2" t="s">
        <v>49</v>
      </c>
      <c r="D91" s="16">
        <v>45678</v>
      </c>
      <c r="E91" s="16">
        <v>45701</v>
      </c>
      <c r="F91" s="16">
        <v>45701</v>
      </c>
      <c r="G91" s="16">
        <v>45846</v>
      </c>
      <c r="H91" s="16">
        <v>45887</v>
      </c>
      <c r="I91" s="16">
        <v>45911</v>
      </c>
      <c r="J91" s="16">
        <v>45919</v>
      </c>
      <c r="K91" s="31" t="s">
        <v>208</v>
      </c>
      <c r="L91" s="2" t="s">
        <v>10</v>
      </c>
      <c r="M91" s="2" t="s">
        <v>13</v>
      </c>
      <c r="N91" s="1">
        <f>TAB_DASHBOARD[[#This Row],[- 7 -
 CHIUSA]]-TAB_DASHBOARD[[#This Row],[- 1 -
INCARICO RICEVUTO]]</f>
        <v>241</v>
      </c>
      <c r="O91" s="1"/>
    </row>
    <row r="92" spans="1:15" x14ac:dyDescent="0.25">
      <c r="A92" s="3" t="s">
        <v>60</v>
      </c>
      <c r="B92" s="10" t="s">
        <v>20</v>
      </c>
      <c r="C92" s="2" t="s">
        <v>49</v>
      </c>
      <c r="D92" s="16">
        <v>45678</v>
      </c>
      <c r="E92" s="16">
        <v>45701</v>
      </c>
      <c r="F92" s="16">
        <v>45701</v>
      </c>
      <c r="G92" s="16">
        <v>45846</v>
      </c>
      <c r="H92" s="16">
        <v>45887</v>
      </c>
      <c r="I92" s="16">
        <v>45911</v>
      </c>
      <c r="J92" s="16">
        <v>45918</v>
      </c>
      <c r="K92" s="31" t="s">
        <v>208</v>
      </c>
      <c r="L92" s="2" t="s">
        <v>10</v>
      </c>
      <c r="M92" s="2" t="s">
        <v>13</v>
      </c>
      <c r="N92" s="1">
        <f>TAB_DASHBOARD[[#This Row],[- 7 -
 CHIUSA]]-TAB_DASHBOARD[[#This Row],[- 1 -
INCARICO RICEVUTO]]</f>
        <v>240</v>
      </c>
      <c r="O92" s="1"/>
    </row>
    <row r="93" spans="1:15" x14ac:dyDescent="0.25">
      <c r="A93" s="3" t="s">
        <v>241</v>
      </c>
      <c r="B93" s="10" t="s">
        <v>20</v>
      </c>
      <c r="C93" s="2" t="s">
        <v>49</v>
      </c>
      <c r="D93" s="16">
        <v>45813</v>
      </c>
      <c r="E93" s="16">
        <v>45831</v>
      </c>
      <c r="F93" s="16">
        <v>45828</v>
      </c>
      <c r="G93" s="16">
        <v>45833</v>
      </c>
      <c r="H93" s="16">
        <v>45846</v>
      </c>
      <c r="I93" s="16">
        <v>45847</v>
      </c>
      <c r="J93" s="16">
        <v>45856</v>
      </c>
      <c r="K93" s="29" t="s">
        <v>208</v>
      </c>
      <c r="L93" s="2" t="s">
        <v>10</v>
      </c>
      <c r="M93" s="2" t="s">
        <v>13</v>
      </c>
      <c r="N93" s="1">
        <f>TAB_DASHBOARD[[#This Row],[- 7 -
 CHIUSA]]-TAB_DASHBOARD[[#This Row],[- 1 -
INCARICO RICEVUTO]]</f>
        <v>43</v>
      </c>
      <c r="O93" s="1"/>
    </row>
    <row r="94" spans="1:15" hidden="1" x14ac:dyDescent="0.25">
      <c r="A94" s="3" t="s">
        <v>326</v>
      </c>
      <c r="B94" s="10" t="s">
        <v>20</v>
      </c>
      <c r="C94" s="2" t="s">
        <v>43</v>
      </c>
      <c r="D94" s="16">
        <v>45960</v>
      </c>
      <c r="E94" s="16"/>
      <c r="F94" s="16"/>
      <c r="G94" s="2"/>
      <c r="H94" s="16"/>
      <c r="I94" s="16"/>
      <c r="J94" s="16"/>
      <c r="K94" s="4"/>
      <c r="L94" s="2" t="s">
        <v>10</v>
      </c>
      <c r="M94" s="2"/>
      <c r="N94" s="1"/>
      <c r="O94" s="1"/>
    </row>
    <row r="95" spans="1:15" hidden="1" x14ac:dyDescent="0.25">
      <c r="A95" s="3" t="s">
        <v>327</v>
      </c>
      <c r="B95" s="10" t="s">
        <v>20</v>
      </c>
      <c r="C95" s="2" t="s">
        <v>43</v>
      </c>
      <c r="D95" s="16">
        <v>45960</v>
      </c>
      <c r="E95" s="16"/>
      <c r="F95" s="16"/>
      <c r="G95" s="2"/>
      <c r="H95" s="16"/>
      <c r="I95" s="16"/>
      <c r="J95" s="16"/>
      <c r="K95" s="4"/>
      <c r="L95" s="2" t="s">
        <v>10</v>
      </c>
      <c r="M95" s="2"/>
      <c r="N95" s="1"/>
      <c r="O95" s="1"/>
    </row>
    <row r="96" spans="1:15" hidden="1" x14ac:dyDescent="0.25">
      <c r="A96" s="3" t="s">
        <v>328</v>
      </c>
      <c r="B96" s="10" t="s">
        <v>20</v>
      </c>
      <c r="C96" s="2" t="s">
        <v>43</v>
      </c>
      <c r="D96" s="16">
        <v>45960</v>
      </c>
      <c r="E96" s="16"/>
      <c r="F96" s="16"/>
      <c r="G96" s="2"/>
      <c r="H96" s="16"/>
      <c r="I96" s="16"/>
      <c r="J96" s="16"/>
      <c r="K96" s="4"/>
      <c r="L96" s="2" t="s">
        <v>10</v>
      </c>
      <c r="M96" s="2"/>
      <c r="N96" s="1"/>
      <c r="O96" s="1"/>
    </row>
    <row r="97" spans="1:15" hidden="1" x14ac:dyDescent="0.25">
      <c r="A97" s="3" t="s">
        <v>329</v>
      </c>
      <c r="B97" s="10" t="s">
        <v>20</v>
      </c>
      <c r="C97" s="2" t="s">
        <v>43</v>
      </c>
      <c r="D97" s="16">
        <v>45960</v>
      </c>
      <c r="E97" s="16"/>
      <c r="F97" s="16"/>
      <c r="G97" s="2"/>
      <c r="H97" s="16"/>
      <c r="I97" s="16"/>
      <c r="J97" s="16"/>
      <c r="K97" s="4"/>
      <c r="L97" s="2" t="s">
        <v>10</v>
      </c>
      <c r="M97" s="2"/>
      <c r="N97" s="1"/>
      <c r="O97" s="1"/>
    </row>
    <row r="98" spans="1:15" hidden="1" x14ac:dyDescent="0.25">
      <c r="A98" s="3" t="s">
        <v>149</v>
      </c>
      <c r="B98" s="2" t="s">
        <v>20</v>
      </c>
      <c r="C98" s="2" t="s">
        <v>47</v>
      </c>
      <c r="D98" s="16">
        <v>45870</v>
      </c>
      <c r="E98" s="16">
        <v>45917</v>
      </c>
      <c r="F98" s="16">
        <v>45917</v>
      </c>
      <c r="G98" s="16">
        <v>45917</v>
      </c>
      <c r="H98" s="16">
        <v>45954</v>
      </c>
      <c r="I98" s="16"/>
      <c r="J98" s="16"/>
      <c r="K98" s="34" t="s">
        <v>208</v>
      </c>
      <c r="L98" s="2" t="s">
        <v>11</v>
      </c>
      <c r="M98" s="2"/>
      <c r="N98" s="1"/>
      <c r="O98" s="1"/>
    </row>
    <row r="99" spans="1:15" hidden="1" x14ac:dyDescent="0.25">
      <c r="A99" s="3" t="s">
        <v>223</v>
      </c>
      <c r="B99" s="10" t="s">
        <v>20</v>
      </c>
      <c r="C99" s="10" t="s">
        <v>45</v>
      </c>
      <c r="D99" s="16">
        <v>45804</v>
      </c>
      <c r="E99" s="16">
        <v>45940</v>
      </c>
      <c r="F99" s="16">
        <v>45940</v>
      </c>
      <c r="G99" s="16"/>
      <c r="H99" s="16"/>
      <c r="I99" s="16"/>
      <c r="J99" s="16"/>
      <c r="K99" s="4" t="s">
        <v>291</v>
      </c>
      <c r="L99" s="2" t="s">
        <v>10</v>
      </c>
      <c r="M99" s="2"/>
      <c r="N99" s="1"/>
      <c r="O99" s="1"/>
    </row>
    <row r="100" spans="1:15" hidden="1" x14ac:dyDescent="0.25">
      <c r="A100" s="3" t="s">
        <v>220</v>
      </c>
      <c r="B100" s="10" t="s">
        <v>20</v>
      </c>
      <c r="C100" s="10" t="s">
        <v>45</v>
      </c>
      <c r="D100" s="16">
        <v>45804</v>
      </c>
      <c r="E100" s="16">
        <v>45908</v>
      </c>
      <c r="F100" s="16">
        <v>45940</v>
      </c>
      <c r="G100" s="16"/>
      <c r="H100" s="16"/>
      <c r="I100" s="16"/>
      <c r="J100" s="16"/>
      <c r="K100" s="4" t="s">
        <v>301</v>
      </c>
      <c r="L100" s="2" t="s">
        <v>10</v>
      </c>
      <c r="M100" s="2"/>
      <c r="N100" s="1"/>
      <c r="O100" s="1"/>
    </row>
    <row r="101" spans="1:15" hidden="1" x14ac:dyDescent="0.25">
      <c r="A101" s="3" t="s">
        <v>221</v>
      </c>
      <c r="B101" s="10" t="s">
        <v>20</v>
      </c>
      <c r="C101" s="10" t="s">
        <v>45</v>
      </c>
      <c r="D101" s="16">
        <v>45804</v>
      </c>
      <c r="E101" s="16">
        <v>45898</v>
      </c>
      <c r="F101" s="16">
        <v>45898</v>
      </c>
      <c r="G101" s="16"/>
      <c r="H101" s="16"/>
      <c r="I101" s="16"/>
      <c r="J101" s="16"/>
      <c r="K101" s="4" t="s">
        <v>301</v>
      </c>
      <c r="L101" s="2" t="s">
        <v>10</v>
      </c>
      <c r="M101" s="2"/>
      <c r="N101" s="1"/>
      <c r="O101" s="1"/>
    </row>
    <row r="102" spans="1:15" hidden="1" x14ac:dyDescent="0.25">
      <c r="A102" s="3" t="s">
        <v>224</v>
      </c>
      <c r="B102" s="10" t="s">
        <v>20</v>
      </c>
      <c r="C102" s="10" t="s">
        <v>2</v>
      </c>
      <c r="D102" s="16">
        <v>45804</v>
      </c>
      <c r="E102" s="16">
        <v>45916</v>
      </c>
      <c r="F102" s="16">
        <v>45916</v>
      </c>
      <c r="G102" s="16"/>
      <c r="H102" s="16"/>
      <c r="I102" s="16"/>
      <c r="J102" s="16"/>
      <c r="K102" s="4" t="s">
        <v>302</v>
      </c>
      <c r="L102" s="2" t="s">
        <v>10</v>
      </c>
      <c r="M102" s="2"/>
      <c r="N102" s="1"/>
      <c r="O102" s="1"/>
    </row>
    <row r="103" spans="1:15" hidden="1" x14ac:dyDescent="0.25">
      <c r="A103" s="3" t="s">
        <v>225</v>
      </c>
      <c r="B103" s="10" t="s">
        <v>20</v>
      </c>
      <c r="C103" s="10" t="s">
        <v>45</v>
      </c>
      <c r="D103" s="16">
        <v>45804</v>
      </c>
      <c r="E103" s="16">
        <v>45898</v>
      </c>
      <c r="F103" s="16">
        <v>45898</v>
      </c>
      <c r="G103" s="16"/>
      <c r="H103" s="16"/>
      <c r="I103" s="16"/>
      <c r="J103" s="16"/>
      <c r="K103" s="4" t="s">
        <v>300</v>
      </c>
      <c r="L103" s="2" t="s">
        <v>10</v>
      </c>
      <c r="M103" s="2"/>
      <c r="N103" s="1"/>
      <c r="O103" s="1"/>
    </row>
    <row r="104" spans="1:15" hidden="1" x14ac:dyDescent="0.25">
      <c r="A104" s="3" t="s">
        <v>222</v>
      </c>
      <c r="B104" s="10" t="s">
        <v>20</v>
      </c>
      <c r="C104" s="10" t="s">
        <v>45</v>
      </c>
      <c r="D104" s="16">
        <v>45804</v>
      </c>
      <c r="E104" s="16">
        <v>45909</v>
      </c>
      <c r="F104" s="16">
        <v>45909</v>
      </c>
      <c r="G104" s="16"/>
      <c r="H104" s="16"/>
      <c r="I104" s="16"/>
      <c r="J104" s="16"/>
      <c r="K104" s="4" t="s">
        <v>247</v>
      </c>
      <c r="L104" s="2" t="s">
        <v>10</v>
      </c>
      <c r="M104" s="2"/>
      <c r="N104" s="1"/>
      <c r="O104" s="1"/>
    </row>
    <row r="105" spans="1:15" hidden="1" x14ac:dyDescent="0.25">
      <c r="A105" s="3" t="s">
        <v>160</v>
      </c>
      <c r="B105" s="10" t="s">
        <v>20</v>
      </c>
      <c r="C105" s="10" t="s">
        <v>44</v>
      </c>
      <c r="D105" s="16">
        <v>45820</v>
      </c>
      <c r="E105" s="16">
        <v>45966</v>
      </c>
      <c r="F105" s="16"/>
      <c r="G105" s="16"/>
      <c r="H105" s="16"/>
      <c r="I105" s="16"/>
      <c r="J105" s="16"/>
      <c r="K105" s="4" t="s">
        <v>334</v>
      </c>
      <c r="L105" s="2" t="s">
        <v>10</v>
      </c>
      <c r="M105" s="2"/>
      <c r="N105" s="1"/>
      <c r="O105" s="1"/>
    </row>
    <row r="106" spans="1:15" ht="30" x14ac:dyDescent="0.25">
      <c r="A106" s="3" t="s">
        <v>201</v>
      </c>
      <c r="B106" s="10" t="s">
        <v>20</v>
      </c>
      <c r="C106" s="2" t="s">
        <v>49</v>
      </c>
      <c r="D106" s="16">
        <v>45681</v>
      </c>
      <c r="E106" s="16">
        <v>45687</v>
      </c>
      <c r="F106" s="16">
        <v>45698</v>
      </c>
      <c r="G106" s="16">
        <v>45775</v>
      </c>
      <c r="H106" s="16">
        <v>45783</v>
      </c>
      <c r="I106" s="16">
        <v>45785</v>
      </c>
      <c r="J106" s="16">
        <v>45785</v>
      </c>
      <c r="K106" s="4" t="s">
        <v>203</v>
      </c>
      <c r="L106" s="2" t="s">
        <v>10</v>
      </c>
      <c r="M106" s="2" t="s">
        <v>13</v>
      </c>
      <c r="N106" s="1">
        <f>TAB_DASHBOARD[[#This Row],[- 7 -
 CHIUSA]]-TAB_DASHBOARD[[#This Row],[- 1 -
INCARICO RICEVUTO]]</f>
        <v>104</v>
      </c>
      <c r="O106" s="1"/>
    </row>
    <row r="107" spans="1:15" x14ac:dyDescent="0.25">
      <c r="A107" s="3" t="s">
        <v>150</v>
      </c>
      <c r="B107" s="10" t="s">
        <v>20</v>
      </c>
      <c r="C107" s="10" t="s">
        <v>49</v>
      </c>
      <c r="D107" s="16">
        <v>45758</v>
      </c>
      <c r="E107" s="16">
        <v>45777</v>
      </c>
      <c r="F107" s="16">
        <v>45777</v>
      </c>
      <c r="G107" s="16">
        <v>45803</v>
      </c>
      <c r="H107" s="16">
        <v>45821</v>
      </c>
      <c r="I107" s="16">
        <v>45833</v>
      </c>
      <c r="J107" s="16">
        <v>45835</v>
      </c>
      <c r="K107" s="29" t="s">
        <v>208</v>
      </c>
      <c r="L107" s="2" t="s">
        <v>11</v>
      </c>
      <c r="M107" s="2" t="s">
        <v>13</v>
      </c>
      <c r="N107" s="1">
        <f>TAB_DASHBOARD[[#This Row],[- 7 -
 CHIUSA]]-TAB_DASHBOARD[[#This Row],[- 1 -
INCARICO RICEVUTO]]</f>
        <v>77</v>
      </c>
      <c r="O107" s="1"/>
    </row>
    <row r="108" spans="1:15" x14ac:dyDescent="0.25">
      <c r="A108" s="3" t="s">
        <v>104</v>
      </c>
      <c r="B108" s="10" t="s">
        <v>20</v>
      </c>
      <c r="C108" s="2" t="s">
        <v>49</v>
      </c>
      <c r="D108" s="16">
        <v>45625</v>
      </c>
      <c r="E108" s="16">
        <v>45700</v>
      </c>
      <c r="F108" s="16">
        <v>45700</v>
      </c>
      <c r="G108" s="16">
        <v>45701</v>
      </c>
      <c r="H108" s="16">
        <v>45721</v>
      </c>
      <c r="I108" s="16">
        <v>45722</v>
      </c>
      <c r="J108" s="16">
        <v>45722</v>
      </c>
      <c r="K108" s="4"/>
      <c r="L108" s="2" t="s">
        <v>11</v>
      </c>
      <c r="M108" s="2" t="s">
        <v>13</v>
      </c>
      <c r="N108" s="1">
        <f>TAB_DASHBOARD[[#This Row],[- 7 -
 CHIUSA]]-TAB_DASHBOARD[[#This Row],[- 1 -
INCARICO RICEVUTO]]</f>
        <v>97</v>
      </c>
      <c r="O108" s="1"/>
    </row>
    <row r="109" spans="1:15" hidden="1" x14ac:dyDescent="0.25">
      <c r="A109" s="3" t="s">
        <v>38</v>
      </c>
      <c r="B109" s="10" t="s">
        <v>20</v>
      </c>
      <c r="C109" s="10" t="s">
        <v>45</v>
      </c>
      <c r="D109" s="16">
        <v>45497</v>
      </c>
      <c r="E109" s="16">
        <v>45533</v>
      </c>
      <c r="F109" s="16">
        <v>45533</v>
      </c>
      <c r="G109" s="2"/>
      <c r="H109" s="16"/>
      <c r="I109" s="16"/>
      <c r="J109" s="16"/>
      <c r="K109" s="4" t="s">
        <v>216</v>
      </c>
      <c r="L109" s="2" t="s">
        <v>10</v>
      </c>
      <c r="M109" s="2"/>
      <c r="N109" s="1"/>
      <c r="O109" s="1"/>
    </row>
    <row r="110" spans="1:15" x14ac:dyDescent="0.25">
      <c r="A110" s="3" t="s">
        <v>85</v>
      </c>
      <c r="B110" s="10" t="s">
        <v>20</v>
      </c>
      <c r="C110" s="2" t="s">
        <v>49</v>
      </c>
      <c r="D110" s="16">
        <v>45713</v>
      </c>
      <c r="E110" s="16">
        <v>45713</v>
      </c>
      <c r="F110" s="16">
        <v>45713</v>
      </c>
      <c r="G110" s="16">
        <v>45750</v>
      </c>
      <c r="H110" s="16">
        <v>45783</v>
      </c>
      <c r="I110" s="16">
        <v>45821</v>
      </c>
      <c r="J110" s="16">
        <v>45824</v>
      </c>
      <c r="K110" s="29"/>
      <c r="L110" s="2" t="s">
        <v>10</v>
      </c>
      <c r="M110" s="2" t="s">
        <v>13</v>
      </c>
      <c r="N110" s="1">
        <f>TAB_DASHBOARD[[#This Row],[- 7 -
 CHIUSA]]-TAB_DASHBOARD[[#This Row],[- 1 -
INCARICO RICEVUTO]]</f>
        <v>111</v>
      </c>
      <c r="O110" s="1"/>
    </row>
    <row r="111" spans="1:15" x14ac:dyDescent="0.25">
      <c r="A111" s="3" t="s">
        <v>86</v>
      </c>
      <c r="B111" s="10" t="s">
        <v>20</v>
      </c>
      <c r="C111" s="2" t="s">
        <v>49</v>
      </c>
      <c r="D111" s="16">
        <v>45713</v>
      </c>
      <c r="E111" s="16">
        <v>45713</v>
      </c>
      <c r="F111" s="16">
        <v>45713</v>
      </c>
      <c r="G111" s="16">
        <v>45750</v>
      </c>
      <c r="H111" s="16">
        <v>45783</v>
      </c>
      <c r="I111" s="16">
        <v>45821</v>
      </c>
      <c r="J111" s="16">
        <v>45824</v>
      </c>
      <c r="K111" s="29"/>
      <c r="L111" s="2" t="s">
        <v>10</v>
      </c>
      <c r="M111" s="2" t="s">
        <v>13</v>
      </c>
      <c r="N111" s="1">
        <f>TAB_DASHBOARD[[#This Row],[- 7 -
 CHIUSA]]-TAB_DASHBOARD[[#This Row],[- 1 -
INCARICO RICEVUTO]]</f>
        <v>111</v>
      </c>
      <c r="O111" s="1"/>
    </row>
    <row r="112" spans="1:15" hidden="1" x14ac:dyDescent="0.25">
      <c r="A112" s="3" t="s">
        <v>92</v>
      </c>
      <c r="B112" s="10" t="s">
        <v>20</v>
      </c>
      <c r="C112" s="10" t="s">
        <v>46</v>
      </c>
      <c r="D112" s="16">
        <v>45716</v>
      </c>
      <c r="E112" s="16">
        <v>45783</v>
      </c>
      <c r="F112" s="16">
        <v>45783</v>
      </c>
      <c r="G112" s="16">
        <v>45957</v>
      </c>
      <c r="H112" s="16"/>
      <c r="I112" s="16"/>
      <c r="J112" s="16"/>
      <c r="K112" s="34" t="s">
        <v>338</v>
      </c>
      <c r="L112" s="2" t="s">
        <v>93</v>
      </c>
      <c r="M112" s="2"/>
      <c r="N112" s="1"/>
      <c r="O112" s="1"/>
    </row>
    <row r="113" spans="1:15" x14ac:dyDescent="0.25">
      <c r="A113" s="3" t="s">
        <v>41</v>
      </c>
      <c r="B113" s="10" t="s">
        <v>20</v>
      </c>
      <c r="C113" s="2" t="s">
        <v>49</v>
      </c>
      <c r="D113" s="16">
        <v>45580</v>
      </c>
      <c r="E113" s="16">
        <v>45681</v>
      </c>
      <c r="F113" s="16">
        <v>45681</v>
      </c>
      <c r="G113" s="16">
        <v>45681</v>
      </c>
      <c r="H113" s="16">
        <v>45686</v>
      </c>
      <c r="I113" s="16">
        <v>45706</v>
      </c>
      <c r="J113" s="16">
        <v>45712</v>
      </c>
      <c r="K113" s="4"/>
      <c r="L113" s="2" t="s">
        <v>10</v>
      </c>
      <c r="M113" s="2" t="s">
        <v>13</v>
      </c>
      <c r="N113" s="1">
        <f>TAB_DASHBOARD[[#This Row],[- 7 -
 CHIUSA]]-TAB_DASHBOARD[[#This Row],[- 1 -
INCARICO RICEVUTO]]</f>
        <v>132</v>
      </c>
      <c r="O113" s="1"/>
    </row>
    <row r="114" spans="1:15" x14ac:dyDescent="0.25">
      <c r="A114" s="13" t="s">
        <v>151</v>
      </c>
      <c r="B114" s="10" t="s">
        <v>20</v>
      </c>
      <c r="C114" s="2" t="s">
        <v>49</v>
      </c>
      <c r="D114" s="21">
        <v>45840</v>
      </c>
      <c r="E114" s="21">
        <v>45911</v>
      </c>
      <c r="F114" s="21">
        <v>45911</v>
      </c>
      <c r="G114" s="21">
        <v>45912</v>
      </c>
      <c r="H114" s="21">
        <v>45941</v>
      </c>
      <c r="I114" s="21">
        <v>45944</v>
      </c>
      <c r="J114" s="21">
        <v>45950</v>
      </c>
      <c r="K114" s="36" t="s">
        <v>208</v>
      </c>
      <c r="L114" s="10" t="s">
        <v>11</v>
      </c>
      <c r="M114" s="10" t="s">
        <v>307</v>
      </c>
      <c r="N114" s="1">
        <f>TAB_DASHBOARD[[#This Row],[- 7 -
 CHIUSA]]-TAB_DASHBOARD[[#This Row],[- 1 -
INCARICO RICEVUTO]]</f>
        <v>110</v>
      </c>
      <c r="O114" s="1"/>
    </row>
    <row r="115" spans="1:15" hidden="1" x14ac:dyDescent="0.25">
      <c r="A115" s="3" t="s">
        <v>83</v>
      </c>
      <c r="B115" s="10" t="s">
        <v>20</v>
      </c>
      <c r="C115" s="10" t="s">
        <v>45</v>
      </c>
      <c r="D115" s="16">
        <v>45712</v>
      </c>
      <c r="E115" s="16">
        <v>45785</v>
      </c>
      <c r="F115" s="16">
        <v>45785</v>
      </c>
      <c r="G115" s="16"/>
      <c r="H115" s="16"/>
      <c r="I115" s="16"/>
      <c r="J115" s="16"/>
      <c r="K115" s="4" t="s">
        <v>262</v>
      </c>
      <c r="L115" s="2" t="s">
        <v>11</v>
      </c>
      <c r="M115" s="2"/>
      <c r="N115" s="1"/>
      <c r="O115" s="1"/>
    </row>
    <row r="116" spans="1:15" hidden="1" x14ac:dyDescent="0.25">
      <c r="A116" s="3" t="s">
        <v>172</v>
      </c>
      <c r="B116" s="10" t="s">
        <v>20</v>
      </c>
      <c r="C116" s="2" t="s">
        <v>2</v>
      </c>
      <c r="D116" s="16">
        <v>45605</v>
      </c>
      <c r="E116" s="16">
        <v>45742</v>
      </c>
      <c r="F116" s="16">
        <v>45742</v>
      </c>
      <c r="G116" s="2"/>
      <c r="H116" s="16"/>
      <c r="I116" s="16"/>
      <c r="J116" s="16"/>
      <c r="K116" s="4" t="s">
        <v>189</v>
      </c>
      <c r="L116" s="2" t="s">
        <v>11</v>
      </c>
      <c r="M116" s="2"/>
      <c r="N116" s="1"/>
      <c r="O116" s="1"/>
    </row>
    <row r="117" spans="1:15" hidden="1" x14ac:dyDescent="0.25">
      <c r="A117" s="3" t="s">
        <v>152</v>
      </c>
      <c r="B117" s="10" t="s">
        <v>20</v>
      </c>
      <c r="C117" s="2" t="s">
        <v>43</v>
      </c>
      <c r="D117" s="16">
        <v>45965</v>
      </c>
      <c r="E117" s="16"/>
      <c r="F117" s="16"/>
      <c r="G117" s="2"/>
      <c r="H117" s="16"/>
      <c r="I117" s="16"/>
      <c r="J117" s="16"/>
      <c r="K117" s="4"/>
      <c r="L117" s="2" t="s">
        <v>10</v>
      </c>
      <c r="M117" s="2"/>
      <c r="N117" s="1"/>
      <c r="O117" s="1"/>
    </row>
    <row r="118" spans="1:15" ht="30" hidden="1" x14ac:dyDescent="0.25">
      <c r="A118" s="3" t="s">
        <v>98</v>
      </c>
      <c r="B118" s="10" t="s">
        <v>20</v>
      </c>
      <c r="C118" s="10" t="s">
        <v>45</v>
      </c>
      <c r="D118" s="16">
        <v>45695</v>
      </c>
      <c r="E118" s="16">
        <v>45727</v>
      </c>
      <c r="F118" s="16">
        <v>45728</v>
      </c>
      <c r="G118" s="16"/>
      <c r="H118" s="16"/>
      <c r="I118" s="16"/>
      <c r="J118" s="16"/>
      <c r="K118" s="4" t="s">
        <v>263</v>
      </c>
      <c r="L118" s="2" t="s">
        <v>10</v>
      </c>
      <c r="M118" s="2"/>
      <c r="N118" s="1"/>
      <c r="O118" s="1"/>
    </row>
    <row r="119" spans="1:15" ht="30" x14ac:dyDescent="0.25">
      <c r="A119" s="3" t="s">
        <v>30</v>
      </c>
      <c r="B119" s="10" t="s">
        <v>20</v>
      </c>
      <c r="C119" s="10" t="s">
        <v>49</v>
      </c>
      <c r="D119" s="16">
        <v>45580</v>
      </c>
      <c r="E119" s="16">
        <v>45761</v>
      </c>
      <c r="F119" s="16">
        <v>45761</v>
      </c>
      <c r="G119" s="16">
        <v>45805</v>
      </c>
      <c r="H119" s="16">
        <v>45853</v>
      </c>
      <c r="I119" s="16">
        <v>45859</v>
      </c>
      <c r="J119" s="16">
        <v>45865</v>
      </c>
      <c r="K119" s="29" t="s">
        <v>233</v>
      </c>
      <c r="L119" s="2" t="s">
        <v>11</v>
      </c>
      <c r="M119" s="2" t="s">
        <v>13</v>
      </c>
      <c r="N119" s="1">
        <f>TAB_DASHBOARD[[#This Row],[- 7 -
 CHIUSA]]-TAB_DASHBOARD[[#This Row],[- 1 -
INCARICO RICEVUTO]]</f>
        <v>285</v>
      </c>
      <c r="O119" s="1"/>
    </row>
    <row r="120" spans="1:15" x14ac:dyDescent="0.25">
      <c r="A120" s="3" t="s">
        <v>173</v>
      </c>
      <c r="B120" s="10" t="s">
        <v>20</v>
      </c>
      <c r="C120" s="2" t="s">
        <v>49</v>
      </c>
      <c r="D120" s="16">
        <v>45624</v>
      </c>
      <c r="E120" s="16">
        <v>45727</v>
      </c>
      <c r="F120" s="16">
        <v>45727</v>
      </c>
      <c r="G120" s="16">
        <v>45729</v>
      </c>
      <c r="H120" s="16">
        <v>45748</v>
      </c>
      <c r="I120" s="16">
        <v>45748</v>
      </c>
      <c r="J120" s="16">
        <v>45748</v>
      </c>
      <c r="K120" s="4" t="s">
        <v>176</v>
      </c>
      <c r="L120" s="2" t="s">
        <v>10</v>
      </c>
      <c r="M120" s="2" t="s">
        <v>13</v>
      </c>
      <c r="N120" s="1">
        <f>TAB_DASHBOARD[[#This Row],[- 7 -
 CHIUSA]]-TAB_DASHBOARD[[#This Row],[- 1 -
INCARICO RICEVUTO]]</f>
        <v>124</v>
      </c>
      <c r="O120" s="1"/>
    </row>
    <row r="121" spans="1:15" hidden="1" x14ac:dyDescent="0.25">
      <c r="A121" s="3" t="s">
        <v>99</v>
      </c>
      <c r="B121" s="10" t="s">
        <v>20</v>
      </c>
      <c r="C121" s="10" t="s">
        <v>45</v>
      </c>
      <c r="D121" s="16">
        <v>44691</v>
      </c>
      <c r="E121" s="16">
        <v>45589</v>
      </c>
      <c r="F121" s="16">
        <v>45625</v>
      </c>
      <c r="G121" s="16"/>
      <c r="H121" s="16"/>
      <c r="I121" s="16"/>
      <c r="J121" s="16"/>
      <c r="K121" s="4" t="s">
        <v>217</v>
      </c>
      <c r="L121" s="2" t="s">
        <v>11</v>
      </c>
      <c r="M121" s="2"/>
      <c r="N121" s="1"/>
      <c r="O121" s="1"/>
    </row>
    <row r="122" spans="1:15" x14ac:dyDescent="0.25">
      <c r="A122" s="3" t="s">
        <v>153</v>
      </c>
      <c r="B122" s="10" t="s">
        <v>20</v>
      </c>
      <c r="C122" s="10" t="s">
        <v>49</v>
      </c>
      <c r="D122" s="16">
        <v>45868</v>
      </c>
      <c r="E122" s="16">
        <v>45874</v>
      </c>
      <c r="F122" s="16">
        <v>45874</v>
      </c>
      <c r="G122" s="16">
        <v>45875</v>
      </c>
      <c r="H122" s="16">
        <v>45919</v>
      </c>
      <c r="I122" s="16">
        <v>45923</v>
      </c>
      <c r="J122" s="16">
        <v>45930</v>
      </c>
      <c r="K122" s="34" t="s">
        <v>208</v>
      </c>
      <c r="L122" s="2" t="s">
        <v>11</v>
      </c>
      <c r="M122" s="2" t="s">
        <v>13</v>
      </c>
      <c r="N122" s="1">
        <f>TAB_DASHBOARD[[#This Row],[- 7 -
 CHIUSA]]-TAB_DASHBOARD[[#This Row],[- 1 -
INCARICO RICEVUTO]]</f>
        <v>62</v>
      </c>
      <c r="O122" s="1"/>
    </row>
    <row r="123" spans="1:15" x14ac:dyDescent="0.25">
      <c r="A123" s="3" t="s">
        <v>63</v>
      </c>
      <c r="B123" s="10" t="s">
        <v>20</v>
      </c>
      <c r="C123" s="2" t="s">
        <v>49</v>
      </c>
      <c r="D123" s="16">
        <v>45610</v>
      </c>
      <c r="E123" s="16">
        <v>45614</v>
      </c>
      <c r="F123" s="16">
        <v>45677</v>
      </c>
      <c r="G123" s="16">
        <v>45713</v>
      </c>
      <c r="H123" s="16">
        <v>45720</v>
      </c>
      <c r="I123" s="16">
        <v>45734</v>
      </c>
      <c r="J123" s="16">
        <v>45744</v>
      </c>
      <c r="K123" s="4"/>
      <c r="L123" s="2" t="s">
        <v>11</v>
      </c>
      <c r="M123" s="2" t="s">
        <v>13</v>
      </c>
      <c r="N123" s="1">
        <f>TAB_DASHBOARD[[#This Row],[- 7 -
 CHIUSA]]-TAB_DASHBOARD[[#This Row],[- 1 -
INCARICO RICEVUTO]]</f>
        <v>134</v>
      </c>
      <c r="O123" s="1"/>
    </row>
    <row r="124" spans="1:15" ht="30" x14ac:dyDescent="0.25">
      <c r="A124" s="3" t="s">
        <v>14</v>
      </c>
      <c r="B124" s="10" t="s">
        <v>20</v>
      </c>
      <c r="C124" s="2" t="s">
        <v>49</v>
      </c>
      <c r="D124" s="16">
        <v>45539</v>
      </c>
      <c r="E124" s="16"/>
      <c r="F124" s="16"/>
      <c r="G124" s="16">
        <v>45540</v>
      </c>
      <c r="H124" s="16"/>
      <c r="I124" s="16"/>
      <c r="J124" s="16"/>
      <c r="K124" s="4" t="s">
        <v>32</v>
      </c>
      <c r="L124" s="2"/>
      <c r="M124" s="2" t="s">
        <v>6</v>
      </c>
      <c r="N124" s="1"/>
      <c r="O124" s="1"/>
    </row>
    <row r="125" spans="1:15" x14ac:dyDescent="0.25">
      <c r="A125" s="3" t="s">
        <v>120</v>
      </c>
      <c r="B125" s="10" t="s">
        <v>20</v>
      </c>
      <c r="C125" s="2" t="s">
        <v>49</v>
      </c>
      <c r="D125" s="16">
        <v>45741</v>
      </c>
      <c r="E125" s="16">
        <v>45776</v>
      </c>
      <c r="F125" s="16">
        <v>45777</v>
      </c>
      <c r="G125" s="16">
        <v>45782</v>
      </c>
      <c r="H125" s="16">
        <v>45803</v>
      </c>
      <c r="I125" s="16">
        <v>45804</v>
      </c>
      <c r="J125" s="16">
        <v>45807</v>
      </c>
      <c r="K125" s="29" t="s">
        <v>208</v>
      </c>
      <c r="L125" s="2" t="s">
        <v>11</v>
      </c>
      <c r="M125" s="2" t="s">
        <v>13</v>
      </c>
      <c r="N125" s="1">
        <f>TAB_DASHBOARD[[#This Row],[- 7 -
 CHIUSA]]-TAB_DASHBOARD[[#This Row],[- 1 -
INCARICO RICEVUTO]]</f>
        <v>66</v>
      </c>
      <c r="O125" s="1"/>
    </row>
    <row r="126" spans="1:15" hidden="1" x14ac:dyDescent="0.25">
      <c r="A126" s="3" t="s">
        <v>154</v>
      </c>
      <c r="B126" s="10" t="s">
        <v>20</v>
      </c>
      <c r="C126" s="2" t="s">
        <v>43</v>
      </c>
      <c r="D126" s="16">
        <v>45931</v>
      </c>
      <c r="E126" s="16"/>
      <c r="F126" s="16"/>
      <c r="G126" s="2"/>
      <c r="H126" s="16"/>
      <c r="I126" s="16"/>
      <c r="J126" s="16"/>
      <c r="K126" s="4"/>
      <c r="L126" s="2" t="s">
        <v>11</v>
      </c>
      <c r="M126" s="2"/>
      <c r="N126" s="1"/>
      <c r="O126" s="1"/>
    </row>
    <row r="127" spans="1:15" ht="30" x14ac:dyDescent="0.25">
      <c r="A127" s="3" t="s">
        <v>278</v>
      </c>
      <c r="B127" s="2" t="s">
        <v>20</v>
      </c>
      <c r="C127" s="2" t="s">
        <v>49</v>
      </c>
      <c r="D127" s="16">
        <v>45852</v>
      </c>
      <c r="E127" s="16">
        <v>45862</v>
      </c>
      <c r="F127" s="16">
        <v>45862</v>
      </c>
      <c r="G127" s="16">
        <v>45869</v>
      </c>
      <c r="H127" s="16">
        <v>45902</v>
      </c>
      <c r="I127" s="16">
        <v>45908</v>
      </c>
      <c r="J127" s="16">
        <v>45909</v>
      </c>
      <c r="K127" s="34" t="s">
        <v>208</v>
      </c>
      <c r="L127" s="2" t="s">
        <v>10</v>
      </c>
      <c r="M127" s="2" t="s">
        <v>13</v>
      </c>
      <c r="N127" s="1">
        <f>TAB_DASHBOARD[[#This Row],[- 7 -
 CHIUSA]]-TAB_DASHBOARD[[#This Row],[- 1 -
INCARICO RICEVUTO]]</f>
        <v>57</v>
      </c>
      <c r="O127" s="1"/>
    </row>
    <row r="128" spans="1:15" x14ac:dyDescent="0.25">
      <c r="A128" s="3" t="s">
        <v>279</v>
      </c>
      <c r="B128" s="2" t="s">
        <v>20</v>
      </c>
      <c r="C128" s="2" t="s">
        <v>49</v>
      </c>
      <c r="D128" s="16">
        <v>45852</v>
      </c>
      <c r="E128" s="16">
        <v>45897</v>
      </c>
      <c r="F128" s="16">
        <v>45897</v>
      </c>
      <c r="G128" s="16">
        <v>45897</v>
      </c>
      <c r="H128" s="16">
        <v>45904</v>
      </c>
      <c r="I128" s="16">
        <v>45905</v>
      </c>
      <c r="J128" s="16">
        <v>45908</v>
      </c>
      <c r="K128" s="34" t="s">
        <v>208</v>
      </c>
      <c r="L128" s="2" t="s">
        <v>10</v>
      </c>
      <c r="M128" s="2" t="s">
        <v>13</v>
      </c>
      <c r="N128" s="1">
        <f>TAB_DASHBOARD[[#This Row],[- 7 -
 CHIUSA]]-TAB_DASHBOARD[[#This Row],[- 1 -
INCARICO RICEVUTO]]</f>
        <v>56</v>
      </c>
      <c r="O128" s="1"/>
    </row>
    <row r="129" spans="1:15" ht="30" x14ac:dyDescent="0.25">
      <c r="A129" s="3" t="s">
        <v>274</v>
      </c>
      <c r="B129" s="10" t="s">
        <v>20</v>
      </c>
      <c r="C129" s="2" t="s">
        <v>49</v>
      </c>
      <c r="D129" s="16">
        <v>45852</v>
      </c>
      <c r="E129" s="16">
        <v>45897</v>
      </c>
      <c r="F129" s="16">
        <v>45897</v>
      </c>
      <c r="G129" s="16">
        <v>45908</v>
      </c>
      <c r="H129" s="16">
        <v>45929</v>
      </c>
      <c r="I129" s="16">
        <v>45930</v>
      </c>
      <c r="J129" s="16">
        <v>45930</v>
      </c>
      <c r="K129" s="34" t="s">
        <v>183</v>
      </c>
      <c r="L129" s="2" t="s">
        <v>10</v>
      </c>
      <c r="M129" s="2" t="s">
        <v>13</v>
      </c>
      <c r="N129" s="1">
        <f>TAB_DASHBOARD[[#This Row],[- 7 -
 CHIUSA]]-TAB_DASHBOARD[[#This Row],[- 1 -
INCARICO RICEVUTO]]</f>
        <v>78</v>
      </c>
      <c r="O129" s="1"/>
    </row>
    <row r="130" spans="1:15" x14ac:dyDescent="0.25">
      <c r="A130" s="3" t="s">
        <v>246</v>
      </c>
      <c r="B130" s="10" t="s">
        <v>20</v>
      </c>
      <c r="C130" s="10" t="s">
        <v>49</v>
      </c>
      <c r="D130" s="16">
        <v>45852</v>
      </c>
      <c r="E130" s="16">
        <v>45873</v>
      </c>
      <c r="F130" s="16">
        <v>45873</v>
      </c>
      <c r="G130" s="16">
        <v>45875</v>
      </c>
      <c r="H130" s="16">
        <v>45909</v>
      </c>
      <c r="I130" s="16">
        <v>45910</v>
      </c>
      <c r="J130" s="16">
        <v>45919</v>
      </c>
      <c r="K130" s="34" t="s">
        <v>208</v>
      </c>
      <c r="L130" s="2" t="s">
        <v>10</v>
      </c>
      <c r="M130" s="2" t="s">
        <v>13</v>
      </c>
      <c r="N130" s="1">
        <f>TAB_DASHBOARD[[#This Row],[- 7 -
 CHIUSA]]-TAB_DASHBOARD[[#This Row],[- 1 -
INCARICO RICEVUTO]]</f>
        <v>67</v>
      </c>
      <c r="O130" s="1"/>
    </row>
    <row r="131" spans="1:15" ht="30" x14ac:dyDescent="0.25">
      <c r="A131" s="3" t="s">
        <v>100</v>
      </c>
      <c r="B131" s="10" t="s">
        <v>20</v>
      </c>
      <c r="C131" s="2" t="s">
        <v>49</v>
      </c>
      <c r="D131" s="16">
        <v>44851</v>
      </c>
      <c r="E131" s="16">
        <v>44851</v>
      </c>
      <c r="F131" s="16">
        <v>44876</v>
      </c>
      <c r="G131" s="16">
        <v>45740</v>
      </c>
      <c r="H131" s="16">
        <v>45761</v>
      </c>
      <c r="I131" s="16">
        <v>45775</v>
      </c>
      <c r="J131" s="16">
        <v>45776</v>
      </c>
      <c r="K131" s="4" t="s">
        <v>187</v>
      </c>
      <c r="L131" s="2" t="s">
        <v>10</v>
      </c>
      <c r="M131" s="2" t="s">
        <v>13</v>
      </c>
      <c r="N131" s="1">
        <f>TAB_DASHBOARD[[#This Row],[- 7 -
 CHIUSA]]-TAB_DASHBOARD[[#This Row],[- 1 -
INCARICO RICEVUTO]]</f>
        <v>925</v>
      </c>
      <c r="O131" s="1"/>
    </row>
    <row r="132" spans="1:15" hidden="1" x14ac:dyDescent="0.25">
      <c r="A132" s="3" t="s">
        <v>101</v>
      </c>
      <c r="B132" s="10" t="s">
        <v>20</v>
      </c>
      <c r="C132" s="10" t="s">
        <v>45</v>
      </c>
      <c r="D132" s="16">
        <v>45629</v>
      </c>
      <c r="E132" s="16">
        <v>45629</v>
      </c>
      <c r="F132" s="16">
        <v>45761</v>
      </c>
      <c r="G132" s="16"/>
      <c r="H132" s="16"/>
      <c r="I132" s="16"/>
      <c r="J132" s="16"/>
      <c r="K132" s="9" t="s">
        <v>264</v>
      </c>
      <c r="L132" s="2"/>
      <c r="M132" s="2"/>
      <c r="N132" s="1"/>
      <c r="O132" s="1"/>
    </row>
    <row r="133" spans="1:15" x14ac:dyDescent="0.25">
      <c r="A133" s="3" t="s">
        <v>58</v>
      </c>
      <c r="B133" s="10" t="s">
        <v>20</v>
      </c>
      <c r="C133" s="2" t="s">
        <v>49</v>
      </c>
      <c r="D133" s="16">
        <v>45690</v>
      </c>
      <c r="E133" s="16">
        <v>45707</v>
      </c>
      <c r="F133" s="16">
        <v>45713</v>
      </c>
      <c r="G133" s="16">
        <v>45713</v>
      </c>
      <c r="H133" s="16">
        <v>45722</v>
      </c>
      <c r="I133" s="16">
        <v>45723</v>
      </c>
      <c r="J133" s="16">
        <v>45726</v>
      </c>
      <c r="K133" s="4"/>
      <c r="L133" s="2" t="s">
        <v>10</v>
      </c>
      <c r="M133" s="2" t="s">
        <v>13</v>
      </c>
      <c r="N133" s="1">
        <f>TAB_DASHBOARD[[#This Row],[- 7 -
 CHIUSA]]-TAB_DASHBOARD[[#This Row],[- 1 -
INCARICO RICEVUTO]]</f>
        <v>36</v>
      </c>
      <c r="O133" s="1"/>
    </row>
    <row r="134" spans="1:15" ht="30" hidden="1" x14ac:dyDescent="0.25">
      <c r="A134" s="3" t="s">
        <v>89</v>
      </c>
      <c r="B134" s="10" t="s">
        <v>20</v>
      </c>
      <c r="C134" s="3" t="s">
        <v>43</v>
      </c>
      <c r="D134" s="16">
        <v>45702</v>
      </c>
      <c r="E134" s="16"/>
      <c r="F134" s="16"/>
      <c r="G134" s="16"/>
      <c r="H134" s="16"/>
      <c r="I134" s="16"/>
      <c r="J134" s="16"/>
      <c r="K134" s="4" t="s">
        <v>285</v>
      </c>
      <c r="L134" s="2" t="s">
        <v>11</v>
      </c>
      <c r="M134" s="2"/>
      <c r="N134" s="1"/>
      <c r="O134" s="1"/>
    </row>
    <row r="135" spans="1:15" ht="45" x14ac:dyDescent="0.25">
      <c r="A135" s="19" t="s">
        <v>102</v>
      </c>
      <c r="B135" s="10" t="s">
        <v>20</v>
      </c>
      <c r="C135" s="10" t="s">
        <v>49</v>
      </c>
      <c r="D135" s="16">
        <v>45593</v>
      </c>
      <c r="E135" s="16">
        <v>45593</v>
      </c>
      <c r="F135" s="16">
        <v>45667</v>
      </c>
      <c r="G135" s="16">
        <v>45699</v>
      </c>
      <c r="H135" s="16">
        <v>45799</v>
      </c>
      <c r="I135" s="16">
        <v>45803</v>
      </c>
      <c r="J135" s="16">
        <v>45807</v>
      </c>
      <c r="K135" s="30" t="s">
        <v>197</v>
      </c>
      <c r="L135" s="2" t="s">
        <v>11</v>
      </c>
      <c r="M135" s="2" t="s">
        <v>13</v>
      </c>
      <c r="N135" s="1">
        <f>TAB_DASHBOARD[[#This Row],[- 7 -
 CHIUSA]]-TAB_DASHBOARD[[#This Row],[- 1 -
INCARICO RICEVUTO]]</f>
        <v>214</v>
      </c>
      <c r="O135" s="1"/>
    </row>
    <row r="136" spans="1:15" hidden="1" x14ac:dyDescent="0.25">
      <c r="A136" s="3" t="s">
        <v>131</v>
      </c>
      <c r="B136" s="10" t="s">
        <v>20</v>
      </c>
      <c r="C136" s="2" t="s">
        <v>43</v>
      </c>
      <c r="D136" s="16">
        <v>45938</v>
      </c>
      <c r="E136" s="16"/>
      <c r="F136" s="16"/>
      <c r="G136" s="16"/>
      <c r="H136" s="16"/>
      <c r="I136" s="16"/>
      <c r="J136" s="16"/>
      <c r="K136" s="4"/>
      <c r="L136" s="2" t="s">
        <v>10</v>
      </c>
      <c r="M136" s="2"/>
      <c r="N136" s="1"/>
      <c r="O136" s="1"/>
    </row>
    <row r="137" spans="1:15" x14ac:dyDescent="0.25">
      <c r="A137" s="3" t="s">
        <v>114</v>
      </c>
      <c r="B137" s="10" t="s">
        <v>20</v>
      </c>
      <c r="C137" s="2" t="s">
        <v>49</v>
      </c>
      <c r="D137" s="16">
        <v>45644</v>
      </c>
      <c r="E137" s="16">
        <v>45728</v>
      </c>
      <c r="F137" s="16">
        <v>45728</v>
      </c>
      <c r="G137" s="16">
        <v>45747</v>
      </c>
      <c r="H137" s="16">
        <v>45762</v>
      </c>
      <c r="I137" s="16">
        <v>45762</v>
      </c>
      <c r="J137" s="16">
        <v>45764</v>
      </c>
      <c r="K137" s="29" t="s">
        <v>178</v>
      </c>
      <c r="L137" s="2" t="s">
        <v>10</v>
      </c>
      <c r="M137" s="2" t="s">
        <v>13</v>
      </c>
      <c r="N137" s="1">
        <f>TAB_DASHBOARD[[#This Row],[- 7 -
 CHIUSA]]-TAB_DASHBOARD[[#This Row],[- 1 -
INCARICO RICEVUTO]]</f>
        <v>120</v>
      </c>
      <c r="O137" s="1"/>
    </row>
    <row r="138" spans="1:15" hidden="1" x14ac:dyDescent="0.25">
      <c r="A138" s="3" t="s">
        <v>290</v>
      </c>
      <c r="B138" s="10" t="s">
        <v>20</v>
      </c>
      <c r="C138" s="2" t="s">
        <v>45</v>
      </c>
      <c r="D138" s="16">
        <v>45910</v>
      </c>
      <c r="E138" s="16"/>
      <c r="F138" s="16">
        <v>45936</v>
      </c>
      <c r="G138" s="16"/>
      <c r="H138" s="16"/>
      <c r="I138" s="16"/>
      <c r="J138" s="16"/>
      <c r="K138" s="5"/>
      <c r="L138" s="2" t="s">
        <v>10</v>
      </c>
      <c r="M138" s="2"/>
      <c r="N138" s="1"/>
      <c r="O138" s="1"/>
    </row>
    <row r="139" spans="1:15" x14ac:dyDescent="0.25">
      <c r="A139" s="3" t="s">
        <v>64</v>
      </c>
      <c r="B139" s="10" t="s">
        <v>20</v>
      </c>
      <c r="C139" s="2" t="s">
        <v>49</v>
      </c>
      <c r="D139" s="16">
        <v>45695</v>
      </c>
      <c r="E139" s="16">
        <v>45727</v>
      </c>
      <c r="F139" s="16">
        <v>45728</v>
      </c>
      <c r="G139" s="16">
        <v>45764</v>
      </c>
      <c r="H139" s="16">
        <v>45785</v>
      </c>
      <c r="I139" s="16">
        <v>45791</v>
      </c>
      <c r="J139" s="16">
        <v>45796</v>
      </c>
      <c r="K139" s="4" t="s">
        <v>210</v>
      </c>
      <c r="L139" s="2" t="s">
        <v>11</v>
      </c>
      <c r="M139" s="2" t="s">
        <v>13</v>
      </c>
      <c r="N139" s="1">
        <f>TAB_DASHBOARD[[#This Row],[- 7 -
 CHIUSA]]-TAB_DASHBOARD[[#This Row],[- 1 -
INCARICO RICEVUTO]]</f>
        <v>101</v>
      </c>
      <c r="O139" s="1"/>
    </row>
    <row r="140" spans="1:15" hidden="1" x14ac:dyDescent="0.25">
      <c r="A140" s="3" t="s">
        <v>156</v>
      </c>
      <c r="B140" s="10" t="s">
        <v>20</v>
      </c>
      <c r="C140" s="2" t="s">
        <v>46</v>
      </c>
      <c r="D140" s="16">
        <v>45940</v>
      </c>
      <c r="E140" s="16">
        <v>45954</v>
      </c>
      <c r="F140" s="16">
        <v>45954</v>
      </c>
      <c r="G140" s="16">
        <v>45965</v>
      </c>
      <c r="H140" s="16"/>
      <c r="I140" s="16"/>
      <c r="J140" s="16"/>
      <c r="K140" s="9"/>
      <c r="L140" s="2" t="s">
        <v>11</v>
      </c>
      <c r="M140" s="2"/>
      <c r="N140" s="1"/>
      <c r="O140" s="1"/>
    </row>
    <row r="141" spans="1:15" hidden="1" x14ac:dyDescent="0.25">
      <c r="A141" s="3" t="s">
        <v>311</v>
      </c>
      <c r="B141" s="10" t="s">
        <v>20</v>
      </c>
      <c r="C141" s="2" t="s">
        <v>43</v>
      </c>
      <c r="D141" s="16">
        <v>45937</v>
      </c>
      <c r="E141" s="16"/>
      <c r="F141" s="16"/>
      <c r="G141" s="16"/>
      <c r="H141" s="16"/>
      <c r="I141" s="16"/>
      <c r="J141" s="16"/>
      <c r="K141" s="6"/>
      <c r="L141" s="2" t="s">
        <v>11</v>
      </c>
      <c r="M141" s="2"/>
      <c r="N141" s="1"/>
      <c r="O141" s="1"/>
    </row>
    <row r="142" spans="1:15" x14ac:dyDescent="0.25">
      <c r="A142" s="3" t="s">
        <v>206</v>
      </c>
      <c r="B142" s="10" t="s">
        <v>20</v>
      </c>
      <c r="C142" s="10" t="s">
        <v>49</v>
      </c>
      <c r="D142" s="16">
        <v>45692</v>
      </c>
      <c r="E142" s="16">
        <v>45757</v>
      </c>
      <c r="F142" s="16">
        <v>45747</v>
      </c>
      <c r="G142" s="16">
        <v>45789</v>
      </c>
      <c r="H142" s="16">
        <v>45786</v>
      </c>
      <c r="I142" s="16">
        <v>45789</v>
      </c>
      <c r="J142" s="16">
        <v>45797</v>
      </c>
      <c r="K142" s="29" t="s">
        <v>209</v>
      </c>
      <c r="L142" s="2" t="s">
        <v>10</v>
      </c>
      <c r="M142" s="2" t="s">
        <v>13</v>
      </c>
      <c r="N142" s="1">
        <f>TAB_DASHBOARD[[#This Row],[- 7 -
 CHIUSA]]-TAB_DASHBOARD[[#This Row],[- 1 -
INCARICO RICEVUTO]]</f>
        <v>105</v>
      </c>
      <c r="O142" s="1"/>
    </row>
    <row r="143" spans="1:15" hidden="1" x14ac:dyDescent="0.25">
      <c r="A143" s="3" t="s">
        <v>155</v>
      </c>
      <c r="B143" s="10" t="s">
        <v>20</v>
      </c>
      <c r="C143" s="2" t="s">
        <v>45</v>
      </c>
      <c r="D143" s="16">
        <v>45939</v>
      </c>
      <c r="E143" s="16">
        <v>45939</v>
      </c>
      <c r="F143" s="16">
        <v>45939</v>
      </c>
      <c r="G143" s="2"/>
      <c r="H143" s="16"/>
      <c r="I143" s="16"/>
      <c r="J143" s="16"/>
      <c r="K143" s="4"/>
      <c r="L143" s="2" t="s">
        <v>10</v>
      </c>
      <c r="M143" s="2"/>
      <c r="N143" s="1"/>
      <c r="O143" s="1"/>
    </row>
    <row r="144" spans="1:15" ht="30" x14ac:dyDescent="0.25">
      <c r="A144" s="3" t="s">
        <v>179</v>
      </c>
      <c r="B144" s="10" t="s">
        <v>20</v>
      </c>
      <c r="C144" s="2" t="s">
        <v>49</v>
      </c>
      <c r="D144" s="16">
        <v>45749</v>
      </c>
      <c r="E144" s="16">
        <v>45749</v>
      </c>
      <c r="F144" s="16">
        <v>45749</v>
      </c>
      <c r="G144" s="16">
        <v>45749</v>
      </c>
      <c r="H144" s="16">
        <v>45770</v>
      </c>
      <c r="I144" s="16">
        <v>45783</v>
      </c>
      <c r="J144" s="16">
        <v>45789</v>
      </c>
      <c r="K144" s="4" t="s">
        <v>184</v>
      </c>
      <c r="L144" s="2" t="s">
        <v>10</v>
      </c>
      <c r="M144" s="2" t="s">
        <v>13</v>
      </c>
      <c r="N144" s="1">
        <f>TAB_DASHBOARD[[#This Row],[- 7 -
 CHIUSA]]-TAB_DASHBOARD[[#This Row],[- 1 -
INCARICO RICEVUTO]]</f>
        <v>40</v>
      </c>
      <c r="O144" s="1"/>
    </row>
    <row r="145" spans="1:15" x14ac:dyDescent="0.25">
      <c r="A145" s="3" t="s">
        <v>185</v>
      </c>
      <c r="B145" s="10" t="s">
        <v>20</v>
      </c>
      <c r="C145" s="10" t="s">
        <v>49</v>
      </c>
      <c r="D145" s="16">
        <v>45751</v>
      </c>
      <c r="E145" s="16">
        <v>45805</v>
      </c>
      <c r="F145" s="16">
        <v>45805</v>
      </c>
      <c r="G145" s="16">
        <v>45812</v>
      </c>
      <c r="H145" s="16">
        <v>45820</v>
      </c>
      <c r="I145" s="16">
        <v>45821</v>
      </c>
      <c r="J145" s="16">
        <v>45838</v>
      </c>
      <c r="K145" s="29" t="s">
        <v>242</v>
      </c>
      <c r="L145" s="2" t="s">
        <v>10</v>
      </c>
      <c r="M145" s="2" t="s">
        <v>13</v>
      </c>
      <c r="N145" s="1">
        <f>TAB_DASHBOARD[[#This Row],[- 7 -
 CHIUSA]]-TAB_DASHBOARD[[#This Row],[- 1 -
INCARICO RICEVUTO]]</f>
        <v>87</v>
      </c>
      <c r="O145" s="1"/>
    </row>
    <row r="146" spans="1:15" x14ac:dyDescent="0.25">
      <c r="A146" s="3" t="s">
        <v>90</v>
      </c>
      <c r="B146" s="10" t="s">
        <v>20</v>
      </c>
      <c r="C146" s="2" t="s">
        <v>49</v>
      </c>
      <c r="D146" s="16">
        <v>45602</v>
      </c>
      <c r="E146" s="16">
        <v>45621</v>
      </c>
      <c r="F146" s="16">
        <v>45621</v>
      </c>
      <c r="G146" s="16">
        <v>45708</v>
      </c>
      <c r="H146" s="16">
        <v>45720</v>
      </c>
      <c r="I146" s="16">
        <v>45723</v>
      </c>
      <c r="J146" s="16">
        <v>45726</v>
      </c>
      <c r="K146" s="4"/>
      <c r="L146" s="2" t="s">
        <v>10</v>
      </c>
      <c r="M146" s="2" t="s">
        <v>13</v>
      </c>
      <c r="N146" s="1">
        <f>TAB_DASHBOARD[[#This Row],[- 7 -
 CHIUSA]]-TAB_DASHBOARD[[#This Row],[- 1 -
INCARICO RICEVUTO]]</f>
        <v>124</v>
      </c>
      <c r="O146" s="1"/>
    </row>
    <row r="147" spans="1:15" hidden="1" x14ac:dyDescent="0.25">
      <c r="A147" s="3" t="s">
        <v>157</v>
      </c>
      <c r="B147" s="10" t="s">
        <v>20</v>
      </c>
      <c r="C147" s="2" t="s">
        <v>43</v>
      </c>
      <c r="D147" s="16">
        <v>45951</v>
      </c>
      <c r="E147" s="16"/>
      <c r="F147" s="16"/>
      <c r="G147" s="16"/>
      <c r="H147" s="16"/>
      <c r="I147" s="16"/>
      <c r="J147" s="16"/>
      <c r="K147" s="6"/>
      <c r="L147" s="2" t="s">
        <v>11</v>
      </c>
      <c r="M147" s="2"/>
      <c r="N147" s="1"/>
      <c r="O147" s="1"/>
    </row>
    <row r="148" spans="1:15" x14ac:dyDescent="0.25">
      <c r="A148" s="3" t="s">
        <v>70</v>
      </c>
      <c r="B148" s="10" t="s">
        <v>20</v>
      </c>
      <c r="C148" s="2" t="s">
        <v>49</v>
      </c>
      <c r="D148" s="16">
        <v>45612</v>
      </c>
      <c r="E148" s="16">
        <v>45707</v>
      </c>
      <c r="F148" s="16">
        <v>45713</v>
      </c>
      <c r="G148" s="16">
        <v>45771</v>
      </c>
      <c r="H148" s="16">
        <v>45803</v>
      </c>
      <c r="I148" s="16">
        <v>45804</v>
      </c>
      <c r="J148" s="16">
        <v>45807</v>
      </c>
      <c r="K148" s="29" t="s">
        <v>183</v>
      </c>
      <c r="L148" s="2" t="s">
        <v>10</v>
      </c>
      <c r="M148" s="2" t="s">
        <v>13</v>
      </c>
      <c r="N148" s="1">
        <f>TAB_DASHBOARD[[#This Row],[- 7 -
 CHIUSA]]-TAB_DASHBOARD[[#This Row],[- 1 -
INCARICO RICEVUTO]]</f>
        <v>195</v>
      </c>
      <c r="O148" s="1"/>
    </row>
    <row r="149" spans="1:15" hidden="1" x14ac:dyDescent="0.25">
      <c r="A149" s="3" t="s">
        <v>158</v>
      </c>
      <c r="B149" s="2" t="s">
        <v>20</v>
      </c>
      <c r="C149" s="2" t="s">
        <v>46</v>
      </c>
      <c r="D149" s="16">
        <v>45861</v>
      </c>
      <c r="E149" s="16"/>
      <c r="F149" s="16"/>
      <c r="G149" s="16">
        <v>45959</v>
      </c>
      <c r="H149" s="16"/>
      <c r="I149" s="16"/>
      <c r="J149" s="16"/>
      <c r="K149" s="34" t="s">
        <v>341</v>
      </c>
      <c r="L149" s="2" t="s">
        <v>10</v>
      </c>
      <c r="M149" s="2"/>
      <c r="N149" s="1"/>
      <c r="O149" s="1"/>
    </row>
    <row r="150" spans="1:15" x14ac:dyDescent="0.25">
      <c r="A150" s="3" t="s">
        <v>42</v>
      </c>
      <c r="B150" s="10" t="s">
        <v>20</v>
      </c>
      <c r="C150" s="2" t="s">
        <v>49</v>
      </c>
      <c r="D150" s="16">
        <v>45581</v>
      </c>
      <c r="E150" s="16">
        <v>45694</v>
      </c>
      <c r="F150" s="16">
        <v>45694</v>
      </c>
      <c r="G150" s="16">
        <v>45694</v>
      </c>
      <c r="H150" s="16">
        <v>45702</v>
      </c>
      <c r="I150" s="16">
        <v>45702</v>
      </c>
      <c r="J150" s="16">
        <v>45702</v>
      </c>
      <c r="K150" s="4"/>
      <c r="L150" s="2" t="s">
        <v>11</v>
      </c>
      <c r="M150" s="2" t="s">
        <v>13</v>
      </c>
      <c r="N150" s="1">
        <f>TAB_DASHBOARD[[#This Row],[- 7 -
 CHIUSA]]-TAB_DASHBOARD[[#This Row],[- 1 -
INCARICO RICEVUTO]]</f>
        <v>121</v>
      </c>
      <c r="O150" s="1"/>
    </row>
    <row r="151" spans="1:15" hidden="1" x14ac:dyDescent="0.25">
      <c r="A151" s="3" t="s">
        <v>161</v>
      </c>
      <c r="B151" s="10" t="s">
        <v>20</v>
      </c>
      <c r="C151" s="2" t="s">
        <v>46</v>
      </c>
      <c r="D151" s="16">
        <v>45940</v>
      </c>
      <c r="E151" s="16">
        <v>45952</v>
      </c>
      <c r="F151" s="16">
        <v>45952</v>
      </c>
      <c r="G151" s="16">
        <v>45961</v>
      </c>
      <c r="H151" s="16"/>
      <c r="I151" s="16"/>
      <c r="J151" s="16"/>
      <c r="K151" s="6"/>
      <c r="L151" s="2" t="s">
        <v>10</v>
      </c>
      <c r="M151" s="2"/>
      <c r="N151" s="1"/>
      <c r="O151" s="1"/>
    </row>
    <row r="152" spans="1:15" ht="30" hidden="1" x14ac:dyDescent="0.25">
      <c r="A152" s="3" t="s">
        <v>159</v>
      </c>
      <c r="B152" s="10" t="s">
        <v>20</v>
      </c>
      <c r="C152" s="2" t="s">
        <v>46</v>
      </c>
      <c r="D152" s="16">
        <v>45904</v>
      </c>
      <c r="E152" s="16">
        <v>45909</v>
      </c>
      <c r="F152" s="16">
        <v>45909</v>
      </c>
      <c r="G152" s="16">
        <v>45952</v>
      </c>
      <c r="H152" s="16"/>
      <c r="I152" s="16"/>
      <c r="J152" s="16"/>
      <c r="K152" s="12" t="s">
        <v>340</v>
      </c>
      <c r="L152" s="2" t="s">
        <v>10</v>
      </c>
      <c r="M152" s="2"/>
      <c r="N152" s="1"/>
      <c r="O152" s="1"/>
    </row>
    <row r="153" spans="1:15" x14ac:dyDescent="0.25">
      <c r="A153" s="3" t="s">
        <v>162</v>
      </c>
      <c r="B153" s="10" t="s">
        <v>20</v>
      </c>
      <c r="C153" s="2" t="s">
        <v>49</v>
      </c>
      <c r="D153" s="16">
        <v>45692</v>
      </c>
      <c r="E153" s="16">
        <v>45911</v>
      </c>
      <c r="F153" s="16">
        <v>45911</v>
      </c>
      <c r="G153" s="16">
        <v>45912</v>
      </c>
      <c r="H153" s="16">
        <v>45941</v>
      </c>
      <c r="I153" s="16">
        <v>45944</v>
      </c>
      <c r="J153" s="16">
        <v>45960</v>
      </c>
      <c r="K153" s="34" t="s">
        <v>208</v>
      </c>
      <c r="L153" s="2" t="s">
        <v>11</v>
      </c>
      <c r="M153" s="2" t="s">
        <v>307</v>
      </c>
      <c r="N153" s="1">
        <f>TAB_DASHBOARD[[#This Row],[- 7 -
 CHIUSA]]-TAB_DASHBOARD[[#This Row],[- 1 -
INCARICO RICEVUTO]]</f>
        <v>268</v>
      </c>
      <c r="O153" s="1"/>
    </row>
    <row r="154" spans="1:15" ht="30" x14ac:dyDescent="0.25">
      <c r="A154" s="3" t="s">
        <v>91</v>
      </c>
      <c r="B154" s="10" t="s">
        <v>20</v>
      </c>
      <c r="C154" s="2" t="s">
        <v>49</v>
      </c>
      <c r="D154" s="16">
        <v>45716</v>
      </c>
      <c r="E154" s="16">
        <v>45741</v>
      </c>
      <c r="F154" s="16">
        <v>45741</v>
      </c>
      <c r="G154" s="16">
        <v>45840</v>
      </c>
      <c r="H154" s="16">
        <v>45882</v>
      </c>
      <c r="I154" s="16">
        <v>45898</v>
      </c>
      <c r="J154" s="16">
        <v>45908</v>
      </c>
      <c r="K154" s="30" t="s">
        <v>269</v>
      </c>
      <c r="L154" s="2" t="s">
        <v>10</v>
      </c>
      <c r="M154" s="2" t="s">
        <v>13</v>
      </c>
      <c r="N154" s="1">
        <f>TAB_DASHBOARD[[#This Row],[- 7 -
 CHIUSA]]-TAB_DASHBOARD[[#This Row],[- 1 -
INCARICO RICEVUTO]]</f>
        <v>192</v>
      </c>
      <c r="O154" s="1"/>
    </row>
    <row r="155" spans="1:15" x14ac:dyDescent="0.25">
      <c r="A155" s="3" t="s">
        <v>121</v>
      </c>
      <c r="B155" s="10" t="s">
        <v>20</v>
      </c>
      <c r="C155" s="2" t="s">
        <v>49</v>
      </c>
      <c r="D155" s="16">
        <v>45741</v>
      </c>
      <c r="E155" s="16">
        <v>45741</v>
      </c>
      <c r="F155" s="16">
        <v>45741</v>
      </c>
      <c r="G155" s="16">
        <v>45742</v>
      </c>
      <c r="H155" s="16">
        <v>45756</v>
      </c>
      <c r="I155" s="16">
        <v>45758</v>
      </c>
      <c r="J155" s="16">
        <v>45761</v>
      </c>
      <c r="K155" s="29" t="s">
        <v>181</v>
      </c>
      <c r="L155" s="2" t="s">
        <v>10</v>
      </c>
      <c r="M155" s="2" t="s">
        <v>13</v>
      </c>
      <c r="N155" s="1">
        <f>TAB_DASHBOARD[[#This Row],[- 7 -
 CHIUSA]]-TAB_DASHBOARD[[#This Row],[- 1 -
INCARICO RICEVUTO]]</f>
        <v>20</v>
      </c>
      <c r="O155" s="1"/>
    </row>
    <row r="156" spans="1:15" hidden="1" x14ac:dyDescent="0.25">
      <c r="A156" s="3" t="s">
        <v>163</v>
      </c>
      <c r="B156" s="10" t="s">
        <v>20</v>
      </c>
      <c r="C156" s="2" t="s">
        <v>43</v>
      </c>
      <c r="D156" s="16">
        <v>45933</v>
      </c>
      <c r="E156" s="16"/>
      <c r="F156" s="16"/>
      <c r="G156" s="2"/>
      <c r="H156" s="16"/>
      <c r="I156" s="16"/>
      <c r="J156" s="16"/>
      <c r="K156" s="4"/>
      <c r="L156" s="2" t="s">
        <v>11</v>
      </c>
      <c r="M156" s="2"/>
      <c r="N156" s="1"/>
      <c r="O156" s="1"/>
    </row>
    <row r="157" spans="1:15" x14ac:dyDescent="0.25">
      <c r="A157" s="3" t="s">
        <v>227</v>
      </c>
      <c r="B157" s="10" t="s">
        <v>20</v>
      </c>
      <c r="C157" s="10" t="s">
        <v>49</v>
      </c>
      <c r="D157" s="16">
        <v>45543</v>
      </c>
      <c r="E157" s="16">
        <v>45650</v>
      </c>
      <c r="F157" s="16">
        <v>45650</v>
      </c>
      <c r="G157" s="16">
        <v>45798</v>
      </c>
      <c r="H157" s="16">
        <v>45841</v>
      </c>
      <c r="I157" s="16">
        <v>45841</v>
      </c>
      <c r="J157" s="16">
        <v>45846</v>
      </c>
      <c r="K157" s="29" t="s">
        <v>236</v>
      </c>
      <c r="L157" s="2" t="s">
        <v>10</v>
      </c>
      <c r="M157" s="2" t="s">
        <v>13</v>
      </c>
      <c r="N157" s="1">
        <f>TAB_DASHBOARD[[#This Row],[- 7 -
 CHIUSA]]-TAB_DASHBOARD[[#This Row],[- 1 -
INCARICO RICEVUTO]]</f>
        <v>303</v>
      </c>
      <c r="O157" s="1"/>
    </row>
    <row r="158" spans="1:15" hidden="1" x14ac:dyDescent="0.25">
      <c r="A158" s="3" t="s">
        <v>309</v>
      </c>
      <c r="B158" s="10" t="s">
        <v>20</v>
      </c>
      <c r="C158" s="2" t="s">
        <v>43</v>
      </c>
      <c r="D158" s="16">
        <v>45933</v>
      </c>
      <c r="E158" s="16"/>
      <c r="F158" s="16"/>
      <c r="G158" s="2"/>
      <c r="H158" s="16"/>
      <c r="I158" s="16"/>
      <c r="J158" s="16"/>
      <c r="K158" s="4"/>
      <c r="L158" s="2" t="s">
        <v>10</v>
      </c>
      <c r="M158" s="2"/>
      <c r="N158" s="1"/>
      <c r="O158" s="1"/>
    </row>
    <row r="159" spans="1:15" ht="45" hidden="1" x14ac:dyDescent="0.25">
      <c r="A159" s="3" t="s">
        <v>103</v>
      </c>
      <c r="B159" s="2" t="s">
        <v>20</v>
      </c>
      <c r="C159" s="2" t="s">
        <v>47</v>
      </c>
      <c r="D159" s="16">
        <v>45493</v>
      </c>
      <c r="E159" s="16">
        <v>45490</v>
      </c>
      <c r="F159" s="16">
        <v>45502</v>
      </c>
      <c r="G159" s="16">
        <v>45912</v>
      </c>
      <c r="H159" s="16">
        <v>45953</v>
      </c>
      <c r="I159" s="16"/>
      <c r="J159" s="16"/>
      <c r="K159" s="34" t="s">
        <v>293</v>
      </c>
      <c r="L159" s="2" t="s">
        <v>10</v>
      </c>
      <c r="M159" s="2"/>
      <c r="N159" s="1"/>
      <c r="O159" s="1"/>
    </row>
    <row r="160" spans="1:15" ht="30" x14ac:dyDescent="0.25">
      <c r="A160" s="3" t="s">
        <v>240</v>
      </c>
      <c r="B160" s="10" t="s">
        <v>20</v>
      </c>
      <c r="C160" s="2" t="s">
        <v>49</v>
      </c>
      <c r="D160" s="16">
        <v>45832</v>
      </c>
      <c r="E160" s="16">
        <v>45867</v>
      </c>
      <c r="F160" s="16">
        <v>45867</v>
      </c>
      <c r="G160" s="16">
        <v>45909</v>
      </c>
      <c r="H160" s="16">
        <v>45941</v>
      </c>
      <c r="I160" s="16">
        <v>45943</v>
      </c>
      <c r="J160" s="16">
        <v>45950</v>
      </c>
      <c r="K160" s="34" t="s">
        <v>296</v>
      </c>
      <c r="L160" s="2" t="s">
        <v>11</v>
      </c>
      <c r="M160" s="2" t="s">
        <v>307</v>
      </c>
      <c r="N160" s="1">
        <f>TAB_DASHBOARD[[#This Row],[- 7 -
 CHIUSA]]-TAB_DASHBOARD[[#This Row],[- 1 -
INCARICO RICEVUTO]]</f>
        <v>118</v>
      </c>
      <c r="O160" s="1"/>
    </row>
    <row r="161" spans="1:15" ht="30" x14ac:dyDescent="0.25">
      <c r="A161" s="3" t="s">
        <v>239</v>
      </c>
      <c r="B161" s="10" t="s">
        <v>20</v>
      </c>
      <c r="C161" s="2" t="s">
        <v>49</v>
      </c>
      <c r="D161" s="16">
        <v>45832</v>
      </c>
      <c r="E161" s="16">
        <v>45866</v>
      </c>
      <c r="F161" s="16">
        <v>45866</v>
      </c>
      <c r="G161" s="16">
        <v>45909</v>
      </c>
      <c r="H161" s="16">
        <v>45932</v>
      </c>
      <c r="I161" s="16">
        <v>45933</v>
      </c>
      <c r="J161" s="16">
        <v>45950</v>
      </c>
      <c r="K161" s="34" t="s">
        <v>295</v>
      </c>
      <c r="L161" s="2" t="s">
        <v>11</v>
      </c>
      <c r="M161" s="2" t="s">
        <v>307</v>
      </c>
      <c r="N161" s="1">
        <f>TAB_DASHBOARD[[#This Row],[- 7 -
 CHIUSA]]-TAB_DASHBOARD[[#This Row],[- 1 -
INCARICO RICEVUTO]]</f>
        <v>118</v>
      </c>
      <c r="O161" s="1"/>
    </row>
    <row r="162" spans="1:15" hidden="1" x14ac:dyDescent="0.25">
      <c r="A162" s="3" t="s">
        <v>167</v>
      </c>
      <c r="B162" s="10" t="s">
        <v>20</v>
      </c>
      <c r="C162" s="10" t="s">
        <v>44</v>
      </c>
      <c r="D162" s="16">
        <v>45635</v>
      </c>
      <c r="E162" s="16">
        <v>45757</v>
      </c>
      <c r="F162" s="16"/>
      <c r="G162" s="16"/>
      <c r="H162" s="16"/>
      <c r="I162" s="16"/>
      <c r="J162" s="16"/>
      <c r="K162" s="5" t="s">
        <v>191</v>
      </c>
      <c r="L162" s="2" t="s">
        <v>11</v>
      </c>
      <c r="M162" s="2"/>
      <c r="N162" s="1"/>
      <c r="O162" s="1"/>
    </row>
    <row r="163" spans="1:15" hidden="1" x14ac:dyDescent="0.25">
      <c r="A163" s="3" t="s">
        <v>286</v>
      </c>
      <c r="B163" s="2" t="s">
        <v>20</v>
      </c>
      <c r="C163" s="2" t="s">
        <v>46</v>
      </c>
      <c r="D163" s="16">
        <v>45894</v>
      </c>
      <c r="E163" s="16">
        <v>45947</v>
      </c>
      <c r="F163" s="16">
        <v>45947</v>
      </c>
      <c r="G163" s="16">
        <v>45961</v>
      </c>
      <c r="H163" s="16"/>
      <c r="I163" s="16"/>
      <c r="J163" s="16"/>
      <c r="K163" s="4"/>
      <c r="L163" s="2" t="s">
        <v>10</v>
      </c>
      <c r="M163" s="2"/>
      <c r="N163" s="1"/>
      <c r="O163" s="1"/>
    </row>
    <row r="164" spans="1:15" x14ac:dyDescent="0.25">
      <c r="A164" s="3" t="s">
        <v>186</v>
      </c>
      <c r="B164" s="10" t="s">
        <v>20</v>
      </c>
      <c r="C164" s="2" t="s">
        <v>49</v>
      </c>
      <c r="D164" s="16">
        <v>45751</v>
      </c>
      <c r="E164" s="16">
        <v>45791</v>
      </c>
      <c r="F164" s="16">
        <v>45791</v>
      </c>
      <c r="G164" s="16">
        <v>45814</v>
      </c>
      <c r="H164" s="16">
        <v>45853</v>
      </c>
      <c r="I164" s="16">
        <v>45853</v>
      </c>
      <c r="J164" s="16">
        <v>45856</v>
      </c>
      <c r="K164" s="29" t="s">
        <v>208</v>
      </c>
      <c r="L164" s="2" t="s">
        <v>10</v>
      </c>
      <c r="M164" s="2" t="s">
        <v>13</v>
      </c>
      <c r="N164" s="1">
        <f>TAB_DASHBOARD[[#This Row],[- 7 -
 CHIUSA]]-TAB_DASHBOARD[[#This Row],[- 1 -
INCARICO RICEVUTO]]</f>
        <v>105</v>
      </c>
      <c r="O164" s="1"/>
    </row>
    <row r="165" spans="1:15" ht="30" x14ac:dyDescent="0.25">
      <c r="A165" s="3" t="s">
        <v>202</v>
      </c>
      <c r="B165" s="10" t="s">
        <v>20</v>
      </c>
      <c r="C165" s="2" t="s">
        <v>49</v>
      </c>
      <c r="D165" s="16">
        <v>45777</v>
      </c>
      <c r="E165" s="16">
        <v>45777</v>
      </c>
      <c r="F165" s="16">
        <v>45777</v>
      </c>
      <c r="G165" s="16">
        <v>45777</v>
      </c>
      <c r="H165" s="16">
        <v>45786</v>
      </c>
      <c r="I165" s="16">
        <v>45792</v>
      </c>
      <c r="J165" s="16">
        <v>45796</v>
      </c>
      <c r="K165" s="4" t="s">
        <v>205</v>
      </c>
      <c r="L165" s="2" t="s">
        <v>10</v>
      </c>
      <c r="M165" s="2" t="s">
        <v>13</v>
      </c>
      <c r="N165" s="1">
        <f>TAB_DASHBOARD[[#This Row],[- 7 -
 CHIUSA]]-TAB_DASHBOARD[[#This Row],[- 1 -
INCARICO RICEVUTO]]</f>
        <v>19</v>
      </c>
      <c r="O165" s="1"/>
    </row>
    <row r="166" spans="1:15" ht="30" x14ac:dyDescent="0.25">
      <c r="A166" s="19" t="s">
        <v>275</v>
      </c>
      <c r="B166" s="10" t="s">
        <v>20</v>
      </c>
      <c r="C166" s="2" t="s">
        <v>49</v>
      </c>
      <c r="D166" s="16">
        <v>45505</v>
      </c>
      <c r="E166" s="16">
        <v>45708</v>
      </c>
      <c r="F166" s="16">
        <v>45708</v>
      </c>
      <c r="G166" s="16">
        <v>45841</v>
      </c>
      <c r="H166" s="16">
        <v>45887</v>
      </c>
      <c r="I166" s="16">
        <v>45896</v>
      </c>
      <c r="J166" s="16">
        <v>45898</v>
      </c>
      <c r="K166" s="30" t="s">
        <v>272</v>
      </c>
      <c r="L166" s="2" t="s">
        <v>11</v>
      </c>
      <c r="M166" s="2" t="s">
        <v>13</v>
      </c>
      <c r="N166" s="1">
        <f>TAB_DASHBOARD[[#This Row],[- 7 -
 CHIUSA]]-TAB_DASHBOARD[[#This Row],[- 1 -
INCARICO RICEVUTO]]</f>
        <v>393</v>
      </c>
      <c r="O166" s="1"/>
    </row>
    <row r="167" spans="1:15" x14ac:dyDescent="0.25">
      <c r="A167" s="3" t="s">
        <v>66</v>
      </c>
      <c r="B167" s="10" t="s">
        <v>20</v>
      </c>
      <c r="C167" s="2" t="s">
        <v>49</v>
      </c>
      <c r="D167" s="16">
        <v>45673</v>
      </c>
      <c r="E167" s="16">
        <v>45797</v>
      </c>
      <c r="F167" s="16">
        <v>45797</v>
      </c>
      <c r="G167" s="16">
        <v>45855</v>
      </c>
      <c r="H167" s="16">
        <v>45889</v>
      </c>
      <c r="I167" s="16">
        <v>45891</v>
      </c>
      <c r="J167" s="16">
        <v>45898</v>
      </c>
      <c r="K167" s="31" t="s">
        <v>183</v>
      </c>
      <c r="L167" s="2" t="s">
        <v>10</v>
      </c>
      <c r="M167" s="2" t="s">
        <v>13</v>
      </c>
      <c r="N167" s="1">
        <f>TAB_DASHBOARD[[#This Row],[- 7 -
 CHIUSA]]-TAB_DASHBOARD[[#This Row],[- 1 -
INCARICO RICEVUTO]]</f>
        <v>225</v>
      </c>
      <c r="O167" s="1"/>
    </row>
    <row r="168" spans="1:15" x14ac:dyDescent="0.25">
      <c r="A168" s="3" t="s">
        <v>164</v>
      </c>
      <c r="B168" s="10" t="s">
        <v>20</v>
      </c>
      <c r="C168" s="2" t="s">
        <v>49</v>
      </c>
      <c r="D168" s="16">
        <v>45803</v>
      </c>
      <c r="E168" s="16">
        <v>45835</v>
      </c>
      <c r="F168" s="16">
        <v>45835</v>
      </c>
      <c r="G168" s="16">
        <v>45845</v>
      </c>
      <c r="H168" s="16">
        <v>45887</v>
      </c>
      <c r="I168" s="16">
        <v>45896</v>
      </c>
      <c r="J168" s="16">
        <v>45898</v>
      </c>
      <c r="K168" s="31" t="s">
        <v>208</v>
      </c>
      <c r="L168" s="2" t="s">
        <v>11</v>
      </c>
      <c r="M168" s="2" t="s">
        <v>13</v>
      </c>
      <c r="N168" s="1">
        <f>TAB_DASHBOARD[[#This Row],[- 7 -
 CHIUSA]]-TAB_DASHBOARD[[#This Row],[- 1 -
INCARICO RICEVUTO]]</f>
        <v>95</v>
      </c>
      <c r="O168" s="1"/>
    </row>
    <row r="169" spans="1:15" x14ac:dyDescent="0.25">
      <c r="A169" s="3" t="s">
        <v>166</v>
      </c>
      <c r="B169" s="10" t="s">
        <v>20</v>
      </c>
      <c r="C169" s="10" t="s">
        <v>49</v>
      </c>
      <c r="D169" s="16">
        <v>45775</v>
      </c>
      <c r="E169" s="16">
        <v>45785</v>
      </c>
      <c r="F169" s="16">
        <v>45785</v>
      </c>
      <c r="G169" s="16">
        <v>45800</v>
      </c>
      <c r="H169" s="16">
        <v>45852</v>
      </c>
      <c r="I169" s="16">
        <v>45853</v>
      </c>
      <c r="J169" s="16">
        <v>45856</v>
      </c>
      <c r="K169" s="29" t="s">
        <v>234</v>
      </c>
      <c r="L169" s="2" t="s">
        <v>10</v>
      </c>
      <c r="M169" s="2" t="s">
        <v>13</v>
      </c>
      <c r="N169" s="1">
        <f>TAB_DASHBOARD[[#This Row],[- 7 -
 CHIUSA]]-TAB_DASHBOARD[[#This Row],[- 1 -
INCARICO RICEVUTO]]</f>
        <v>81</v>
      </c>
      <c r="O169" s="1"/>
    </row>
    <row r="170" spans="1:15" hidden="1" x14ac:dyDescent="0.25">
      <c r="A170" s="3" t="s">
        <v>229</v>
      </c>
      <c r="B170" s="10" t="s">
        <v>20</v>
      </c>
      <c r="C170" s="2" t="s">
        <v>47</v>
      </c>
      <c r="D170" s="16">
        <v>45806</v>
      </c>
      <c r="E170" s="16">
        <v>45834</v>
      </c>
      <c r="F170" s="16">
        <v>45828</v>
      </c>
      <c r="G170" s="16">
        <v>45848</v>
      </c>
      <c r="H170" s="16">
        <v>45888</v>
      </c>
      <c r="I170" s="16"/>
      <c r="J170" s="16"/>
      <c r="K170" s="31" t="s">
        <v>183</v>
      </c>
      <c r="L170" s="2" t="s">
        <v>10</v>
      </c>
      <c r="M170" s="2"/>
      <c r="N170" s="1"/>
      <c r="O170" s="1"/>
    </row>
    <row r="171" spans="1:15" x14ac:dyDescent="0.25">
      <c r="A171" s="3" t="s">
        <v>276</v>
      </c>
      <c r="B171" s="10" t="s">
        <v>20</v>
      </c>
      <c r="C171" s="10" t="s">
        <v>49</v>
      </c>
      <c r="D171" s="16">
        <v>45673</v>
      </c>
      <c r="E171" s="16">
        <v>45701</v>
      </c>
      <c r="F171" s="16">
        <v>45701</v>
      </c>
      <c r="G171" s="16">
        <v>45749</v>
      </c>
      <c r="H171" s="16">
        <v>45840</v>
      </c>
      <c r="I171" s="16">
        <v>45842</v>
      </c>
      <c r="J171" s="16">
        <v>45898</v>
      </c>
      <c r="K171" s="31" t="s">
        <v>183</v>
      </c>
      <c r="L171" s="2" t="s">
        <v>10</v>
      </c>
      <c r="M171" s="2" t="s">
        <v>13</v>
      </c>
      <c r="N171" s="1">
        <f>TAB_DASHBOARD[[#This Row],[- 7 -
 CHIUSA]]-TAB_DASHBOARD[[#This Row],[- 1 -
INCARICO RICEVUTO]]</f>
        <v>225</v>
      </c>
      <c r="O171" s="1"/>
    </row>
    <row r="172" spans="1:15" ht="30" x14ac:dyDescent="0.25">
      <c r="A172" s="3" t="s">
        <v>107</v>
      </c>
      <c r="B172" s="10" t="s">
        <v>20</v>
      </c>
      <c r="C172" s="2" t="s">
        <v>49</v>
      </c>
      <c r="D172" s="16">
        <v>45239</v>
      </c>
      <c r="E172" s="16">
        <v>45265</v>
      </c>
      <c r="F172" s="16">
        <v>45873</v>
      </c>
      <c r="G172" s="16"/>
      <c r="H172" s="16"/>
      <c r="I172" s="16"/>
      <c r="J172" s="16"/>
      <c r="K172" s="4" t="s">
        <v>266</v>
      </c>
      <c r="L172" s="2" t="s">
        <v>10</v>
      </c>
      <c r="M172" s="2" t="s">
        <v>13</v>
      </c>
      <c r="N172" s="1"/>
      <c r="O172" s="1"/>
    </row>
    <row r="173" spans="1:15" x14ac:dyDescent="0.25">
      <c r="A173" s="3" t="s">
        <v>108</v>
      </c>
      <c r="B173" s="10" t="s">
        <v>20</v>
      </c>
      <c r="C173" s="2" t="s">
        <v>49</v>
      </c>
      <c r="D173" s="16">
        <v>45687</v>
      </c>
      <c r="E173" s="16">
        <v>45677</v>
      </c>
      <c r="F173" s="16">
        <v>45677</v>
      </c>
      <c r="G173" s="16">
        <v>45736</v>
      </c>
      <c r="H173" s="16">
        <v>45748</v>
      </c>
      <c r="I173" s="16">
        <v>45749</v>
      </c>
      <c r="J173" s="16">
        <v>45755</v>
      </c>
      <c r="K173" s="29" t="s">
        <v>175</v>
      </c>
      <c r="L173" s="2" t="s">
        <v>10</v>
      </c>
      <c r="M173" s="2" t="s">
        <v>13</v>
      </c>
      <c r="N173" s="1">
        <f>TAB_DASHBOARD[[#This Row],[- 7 -
 CHIUSA]]-TAB_DASHBOARD[[#This Row],[- 1 -
INCARICO RICEVUTO]]</f>
        <v>68</v>
      </c>
      <c r="O173" s="1"/>
    </row>
    <row r="174" spans="1:15" x14ac:dyDescent="0.25">
      <c r="A174" s="3" t="s">
        <v>88</v>
      </c>
      <c r="B174" s="10" t="s">
        <v>20</v>
      </c>
      <c r="C174" s="2" t="s">
        <v>49</v>
      </c>
      <c r="D174" s="16">
        <v>45701</v>
      </c>
      <c r="E174" s="16">
        <v>45701</v>
      </c>
      <c r="F174" s="16">
        <v>45701</v>
      </c>
      <c r="G174" s="16">
        <v>45701</v>
      </c>
      <c r="H174" s="16">
        <v>45712</v>
      </c>
      <c r="I174" s="16">
        <v>45713</v>
      </c>
      <c r="J174" s="16">
        <v>45714</v>
      </c>
      <c r="K174" s="4" t="s">
        <v>39</v>
      </c>
      <c r="L174" s="2" t="s">
        <v>10</v>
      </c>
      <c r="M174" s="2" t="s">
        <v>13</v>
      </c>
      <c r="N174" s="1">
        <f>TAB_DASHBOARD[[#This Row],[- 7 -
 CHIUSA]]-TAB_DASHBOARD[[#This Row],[- 1 -
INCARICO RICEVUTO]]</f>
        <v>13</v>
      </c>
      <c r="O174" s="1"/>
    </row>
    <row r="175" spans="1:15" x14ac:dyDescent="0.25">
      <c r="A175" s="3" t="s">
        <v>230</v>
      </c>
      <c r="B175" s="10" t="s">
        <v>20</v>
      </c>
      <c r="C175" s="2" t="s">
        <v>49</v>
      </c>
      <c r="D175" s="16">
        <v>45595</v>
      </c>
      <c r="E175" s="16">
        <v>45735</v>
      </c>
      <c r="F175" s="16">
        <v>45741</v>
      </c>
      <c r="G175" s="16">
        <v>45821</v>
      </c>
      <c r="H175" s="16">
        <v>45865</v>
      </c>
      <c r="I175" s="16">
        <v>45866</v>
      </c>
      <c r="J175" s="16">
        <v>45880</v>
      </c>
      <c r="K175" s="31" t="s">
        <v>208</v>
      </c>
      <c r="L175" s="2" t="s">
        <v>11</v>
      </c>
      <c r="M175" s="2" t="s">
        <v>13</v>
      </c>
      <c r="N175" s="1">
        <f>TAB_DASHBOARD[[#This Row],[- 7 -
 CHIUSA]]-TAB_DASHBOARD[[#This Row],[- 1 -
INCARICO RICEVUTO]]</f>
        <v>285</v>
      </c>
      <c r="O175" s="1"/>
    </row>
    <row r="176" spans="1:15" x14ac:dyDescent="0.25">
      <c r="A176" s="3" t="s">
        <v>330</v>
      </c>
      <c r="B176" s="10" t="s">
        <v>20</v>
      </c>
      <c r="C176" s="2" t="s">
        <v>49</v>
      </c>
      <c r="D176" s="16">
        <v>45498</v>
      </c>
      <c r="E176" s="16">
        <v>45860</v>
      </c>
      <c r="F176" s="16">
        <v>45860</v>
      </c>
      <c r="G176" s="16">
        <v>45911</v>
      </c>
      <c r="H176" s="16">
        <v>45932</v>
      </c>
      <c r="I176" s="16">
        <v>45947</v>
      </c>
      <c r="J176" s="16">
        <v>45961</v>
      </c>
      <c r="K176" s="34" t="s">
        <v>208</v>
      </c>
      <c r="L176" s="2" t="s">
        <v>10</v>
      </c>
      <c r="M176" s="2" t="s">
        <v>307</v>
      </c>
      <c r="N176" s="1">
        <f>TAB_DASHBOARD[[#This Row],[- 7 -
 CHIUSA]]-TAB_DASHBOARD[[#This Row],[- 1 -
INCARICO RICEVUTO]]</f>
        <v>463</v>
      </c>
      <c r="O176" s="1"/>
    </row>
    <row r="177" spans="1:15" hidden="1" x14ac:dyDescent="0.25">
      <c r="A177" s="3" t="s">
        <v>165</v>
      </c>
      <c r="B177" s="10" t="s">
        <v>20</v>
      </c>
      <c r="C177" s="2" t="s">
        <v>43</v>
      </c>
      <c r="D177" s="16">
        <v>45946</v>
      </c>
      <c r="E177" s="16"/>
      <c r="F177" s="16"/>
      <c r="G177" s="16"/>
      <c r="H177" s="16"/>
      <c r="I177" s="16"/>
      <c r="J177" s="16"/>
      <c r="K177" s="4"/>
      <c r="L177" s="2" t="s">
        <v>10</v>
      </c>
      <c r="M177" s="2"/>
      <c r="N177" s="1"/>
      <c r="O177" s="1"/>
    </row>
    <row r="178" spans="1:15" x14ac:dyDescent="0.25">
      <c r="A178" s="3" t="s">
        <v>109</v>
      </c>
      <c r="B178" s="10" t="s">
        <v>20</v>
      </c>
      <c r="C178" s="10" t="s">
        <v>49</v>
      </c>
      <c r="D178" s="16">
        <v>45694</v>
      </c>
      <c r="E178" s="16">
        <v>45784</v>
      </c>
      <c r="F178" s="16">
        <v>45784</v>
      </c>
      <c r="G178" s="16">
        <v>45798</v>
      </c>
      <c r="H178" s="16">
        <v>45814</v>
      </c>
      <c r="I178" s="16">
        <v>45821</v>
      </c>
      <c r="J178" s="16">
        <v>45835</v>
      </c>
      <c r="K178" s="4" t="s">
        <v>231</v>
      </c>
      <c r="L178" s="2" t="s">
        <v>11</v>
      </c>
      <c r="M178" s="2" t="s">
        <v>13</v>
      </c>
      <c r="N178" s="1">
        <f>TAB_DASHBOARD[[#This Row],[- 7 -
 CHIUSA]]-TAB_DASHBOARD[[#This Row],[- 1 -
INCARICO RICEVUTO]]</f>
        <v>141</v>
      </c>
      <c r="O178" s="1"/>
    </row>
    <row r="179" spans="1:15" x14ac:dyDescent="0.25">
      <c r="A179" s="3" t="s">
        <v>253</v>
      </c>
      <c r="B179" s="10" t="s">
        <v>20</v>
      </c>
      <c r="C179" s="2" t="s">
        <v>49</v>
      </c>
      <c r="D179" s="16">
        <v>45814</v>
      </c>
      <c r="E179" s="16">
        <v>45834</v>
      </c>
      <c r="F179" s="16">
        <v>45834</v>
      </c>
      <c r="G179" s="16">
        <v>45835</v>
      </c>
      <c r="H179" s="16">
        <v>45881</v>
      </c>
      <c r="I179" s="16">
        <v>45890</v>
      </c>
      <c r="J179" s="16">
        <v>45890</v>
      </c>
      <c r="K179" s="31" t="s">
        <v>256</v>
      </c>
      <c r="L179" s="2" t="s">
        <v>10</v>
      </c>
      <c r="M179" s="2" t="s">
        <v>13</v>
      </c>
      <c r="N179" s="1">
        <f>TAB_DASHBOARD[[#This Row],[- 7 -
 CHIUSA]]-TAB_DASHBOARD[[#This Row],[- 1 -
INCARICO RICEVUTO]]</f>
        <v>76</v>
      </c>
      <c r="O179" s="1"/>
    </row>
    <row r="180" spans="1:15" x14ac:dyDescent="0.25">
      <c r="A180" s="3" t="s">
        <v>196</v>
      </c>
      <c r="B180" s="10" t="s">
        <v>20</v>
      </c>
      <c r="C180" s="10" t="s">
        <v>49</v>
      </c>
      <c r="D180" s="16">
        <v>45769</v>
      </c>
      <c r="E180" s="16">
        <v>45811</v>
      </c>
      <c r="F180" s="16">
        <v>45811</v>
      </c>
      <c r="G180" s="16">
        <v>45812</v>
      </c>
      <c r="H180" s="16">
        <v>45859</v>
      </c>
      <c r="I180" s="16">
        <v>45862</v>
      </c>
      <c r="J180" s="16">
        <v>45864</v>
      </c>
      <c r="K180" s="31" t="s">
        <v>183</v>
      </c>
      <c r="L180" s="2" t="s">
        <v>10</v>
      </c>
      <c r="M180" s="2" t="s">
        <v>13</v>
      </c>
      <c r="N180" s="1">
        <f>TAB_DASHBOARD[[#This Row],[- 7 -
 CHIUSA]]-TAB_DASHBOARD[[#This Row],[- 1 -
INCARICO RICEVUTO]]</f>
        <v>95</v>
      </c>
      <c r="O180" s="1"/>
    </row>
    <row r="181" spans="1:15" hidden="1" x14ac:dyDescent="0.25">
      <c r="A181" s="3" t="s">
        <v>82</v>
      </c>
      <c r="B181" s="10" t="s">
        <v>20</v>
      </c>
      <c r="C181" s="10" t="s">
        <v>45</v>
      </c>
      <c r="D181" s="16">
        <v>45712</v>
      </c>
      <c r="E181" s="16">
        <v>45791</v>
      </c>
      <c r="F181" s="16">
        <v>45791</v>
      </c>
      <c r="G181" s="16"/>
      <c r="H181" s="16"/>
      <c r="I181" s="16"/>
      <c r="J181" s="16"/>
      <c r="K181" s="4" t="s">
        <v>265</v>
      </c>
      <c r="L181" s="2" t="s">
        <v>11</v>
      </c>
      <c r="M181" s="2"/>
      <c r="N181" s="1"/>
      <c r="O181" s="1"/>
    </row>
    <row r="182" spans="1:15" hidden="1" x14ac:dyDescent="0.25">
      <c r="A182" s="3" t="s">
        <v>135</v>
      </c>
      <c r="B182" s="10" t="s">
        <v>20</v>
      </c>
      <c r="C182" s="2" t="s">
        <v>44</v>
      </c>
      <c r="D182" s="16">
        <v>45919</v>
      </c>
      <c r="E182" s="16">
        <v>45931</v>
      </c>
      <c r="F182" s="16"/>
      <c r="G182" s="16"/>
      <c r="H182" s="16"/>
      <c r="I182" s="16"/>
      <c r="J182" s="16"/>
      <c r="K182" s="4"/>
      <c r="L182" s="2" t="s">
        <v>10</v>
      </c>
      <c r="M182" s="2"/>
      <c r="N182" s="1"/>
      <c r="O182" s="1"/>
    </row>
    <row r="183" spans="1:15" x14ac:dyDescent="0.25">
      <c r="A183" s="28" t="s">
        <v>174</v>
      </c>
      <c r="B183" s="10" t="s">
        <v>20</v>
      </c>
      <c r="C183" s="2" t="s">
        <v>49</v>
      </c>
      <c r="D183" s="16">
        <v>45586</v>
      </c>
      <c r="E183" s="16">
        <v>45684</v>
      </c>
      <c r="F183" s="16">
        <v>45684</v>
      </c>
      <c r="G183" s="16">
        <v>45715</v>
      </c>
      <c r="H183" s="16">
        <v>45734</v>
      </c>
      <c r="I183" s="16">
        <v>45747</v>
      </c>
      <c r="J183" s="16">
        <v>45747</v>
      </c>
      <c r="K183" s="4" t="s">
        <v>62</v>
      </c>
      <c r="L183" s="2" t="s">
        <v>10</v>
      </c>
      <c r="M183" s="2" t="s">
        <v>13</v>
      </c>
      <c r="N183" s="1">
        <f>TAB_DASHBOARD[[#This Row],[- 7 -
 CHIUSA]]-TAB_DASHBOARD[[#This Row],[- 1 -
INCARICO RICEVUTO]]</f>
        <v>161</v>
      </c>
      <c r="O183" s="1"/>
    </row>
    <row r="184" spans="1:15" hidden="1" x14ac:dyDescent="0.25">
      <c r="A184" s="3" t="s">
        <v>168</v>
      </c>
      <c r="B184" s="2" t="s">
        <v>20</v>
      </c>
      <c r="C184" s="2" t="s">
        <v>47</v>
      </c>
      <c r="D184" s="16">
        <v>45922</v>
      </c>
      <c r="E184" s="16">
        <v>45922</v>
      </c>
      <c r="F184" s="16">
        <v>45922</v>
      </c>
      <c r="G184" s="16">
        <v>45924</v>
      </c>
      <c r="H184" s="16">
        <v>45966</v>
      </c>
      <c r="I184" s="16"/>
      <c r="J184" s="16"/>
      <c r="K184" s="34" t="s">
        <v>208</v>
      </c>
      <c r="L184" s="2" t="s">
        <v>10</v>
      </c>
      <c r="M184" s="2"/>
      <c r="N184" s="1"/>
      <c r="O184" s="1"/>
    </row>
    <row r="185" spans="1:15" x14ac:dyDescent="0.25">
      <c r="A185" s="3" t="s">
        <v>81</v>
      </c>
      <c r="B185" s="10" t="s">
        <v>20</v>
      </c>
      <c r="C185" s="25" t="s">
        <v>49</v>
      </c>
      <c r="D185" s="16">
        <v>45621</v>
      </c>
      <c r="E185" s="16">
        <v>45700</v>
      </c>
      <c r="F185" s="16">
        <v>45700</v>
      </c>
      <c r="G185" s="16">
        <v>45700</v>
      </c>
      <c r="H185" s="16">
        <v>45712</v>
      </c>
      <c r="I185" s="16">
        <v>45713</v>
      </c>
      <c r="J185" s="16">
        <v>45714</v>
      </c>
      <c r="K185" s="15"/>
      <c r="L185" s="2" t="s">
        <v>10</v>
      </c>
      <c r="M185" s="2" t="s">
        <v>13</v>
      </c>
      <c r="N185" s="1">
        <f>TAB_DASHBOARD[[#This Row],[- 7 -
 CHIUSA]]-TAB_DASHBOARD[[#This Row],[- 1 -
INCARICO RICEVUTO]]</f>
        <v>93</v>
      </c>
      <c r="O185" s="1"/>
    </row>
    <row r="186" spans="1:15" x14ac:dyDescent="0.25">
      <c r="A186" s="23" t="s">
        <v>267</v>
      </c>
      <c r="B186" s="10" t="s">
        <v>20</v>
      </c>
      <c r="C186" s="2" t="s">
        <v>49</v>
      </c>
      <c r="D186" s="16">
        <v>45820</v>
      </c>
      <c r="E186" s="16">
        <v>45842</v>
      </c>
      <c r="F186" s="16">
        <v>45842</v>
      </c>
      <c r="G186" s="16">
        <v>45849</v>
      </c>
      <c r="H186" s="16">
        <v>45882</v>
      </c>
      <c r="I186" s="16">
        <v>45946</v>
      </c>
      <c r="J186" s="16">
        <v>45950</v>
      </c>
      <c r="K186" s="4"/>
      <c r="L186" s="2" t="s">
        <v>10</v>
      </c>
      <c r="M186" s="2" t="s">
        <v>307</v>
      </c>
      <c r="N186" s="1">
        <f>TAB_DASHBOARD[[#This Row],[- 7 -
 CHIUSA]]-TAB_DASHBOARD[[#This Row],[- 1 -
INCARICO RICEVUTO]]</f>
        <v>130</v>
      </c>
      <c r="O186" s="1"/>
    </row>
    <row r="187" spans="1:15" ht="30" x14ac:dyDescent="0.25">
      <c r="A187" s="3" t="s">
        <v>188</v>
      </c>
      <c r="B187" s="10" t="s">
        <v>20</v>
      </c>
      <c r="C187" s="2" t="s">
        <v>49</v>
      </c>
      <c r="D187" s="16">
        <v>45602</v>
      </c>
      <c r="E187" s="16">
        <v>45708</v>
      </c>
      <c r="F187" s="16">
        <v>45708</v>
      </c>
      <c r="G187" s="16">
        <v>45740</v>
      </c>
      <c r="H187" s="16">
        <v>45754</v>
      </c>
      <c r="I187" s="16">
        <v>45756</v>
      </c>
      <c r="J187" s="16">
        <v>45761</v>
      </c>
      <c r="K187" s="4" t="s">
        <v>177</v>
      </c>
      <c r="L187" s="2" t="s">
        <v>11</v>
      </c>
      <c r="M187" s="2" t="s">
        <v>13</v>
      </c>
      <c r="N187" s="1">
        <f>TAB_DASHBOARD[[#This Row],[- 7 -
 CHIUSA]]-TAB_DASHBOARD[[#This Row],[- 1 -
INCARICO RICEVUTO]]</f>
        <v>159</v>
      </c>
      <c r="O187" s="1"/>
    </row>
    <row r="188" spans="1:15" hidden="1" x14ac:dyDescent="0.25">
      <c r="A188" s="3" t="s">
        <v>169</v>
      </c>
      <c r="B188" s="10" t="s">
        <v>20</v>
      </c>
      <c r="C188" s="2" t="s">
        <v>43</v>
      </c>
      <c r="D188" s="16">
        <v>45946</v>
      </c>
      <c r="E188" s="16"/>
      <c r="F188" s="16"/>
      <c r="G188" s="16"/>
      <c r="H188" s="16"/>
      <c r="I188" s="16"/>
      <c r="J188" s="16"/>
      <c r="K188" s="4"/>
      <c r="L188" s="2" t="s">
        <v>11</v>
      </c>
      <c r="M188" s="2"/>
      <c r="N188" s="1"/>
      <c r="O188" s="1"/>
    </row>
    <row r="189" spans="1:15" hidden="1" x14ac:dyDescent="0.25">
      <c r="A189" s="3" t="s">
        <v>288</v>
      </c>
      <c r="B189" s="2" t="s">
        <v>20</v>
      </c>
      <c r="C189" s="2" t="s">
        <v>48</v>
      </c>
      <c r="D189" s="16">
        <v>45854</v>
      </c>
      <c r="E189" s="16">
        <v>45874</v>
      </c>
      <c r="F189" s="16">
        <v>45874</v>
      </c>
      <c r="G189" s="16">
        <v>45923</v>
      </c>
      <c r="H189" s="16">
        <v>45964</v>
      </c>
      <c r="I189" s="16">
        <v>45967</v>
      </c>
      <c r="J189" s="16"/>
      <c r="K189" s="12" t="s">
        <v>323</v>
      </c>
      <c r="L189" s="2" t="s">
        <v>10</v>
      </c>
      <c r="M189" s="2"/>
      <c r="N189" s="1"/>
      <c r="O189" s="1"/>
    </row>
    <row r="190" spans="1:15" x14ac:dyDescent="0.25">
      <c r="A190" s="3" t="s">
        <v>289</v>
      </c>
      <c r="B190" s="10" t="s">
        <v>20</v>
      </c>
      <c r="C190" s="2" t="s">
        <v>49</v>
      </c>
      <c r="D190" s="16">
        <v>45854</v>
      </c>
      <c r="E190" s="16">
        <v>45874</v>
      </c>
      <c r="F190" s="16">
        <v>45874</v>
      </c>
      <c r="G190" s="16">
        <v>45910</v>
      </c>
      <c r="H190" s="16">
        <v>45941</v>
      </c>
      <c r="I190" s="16">
        <v>45954</v>
      </c>
      <c r="J190" s="16">
        <v>45961</v>
      </c>
      <c r="K190" s="34" t="s">
        <v>297</v>
      </c>
      <c r="L190" s="2" t="s">
        <v>10</v>
      </c>
      <c r="M190" s="2" t="s">
        <v>307</v>
      </c>
      <c r="N190" s="1">
        <f>TAB_DASHBOARD[[#This Row],[- 7 -
 CHIUSA]]-TAB_DASHBOARD[[#This Row],[- 1 -
INCARICO RICEVUTO]]</f>
        <v>107</v>
      </c>
      <c r="O190" s="1"/>
    </row>
    <row r="191" spans="1:15" hidden="1" x14ac:dyDescent="0.25">
      <c r="A191" s="3" t="s">
        <v>277</v>
      </c>
      <c r="B191" s="10" t="s">
        <v>20</v>
      </c>
      <c r="C191" s="10" t="s">
        <v>48</v>
      </c>
      <c r="D191" s="16">
        <v>45758</v>
      </c>
      <c r="E191" s="16">
        <v>45845</v>
      </c>
      <c r="F191" s="16">
        <v>45845</v>
      </c>
      <c r="G191" s="16">
        <v>45938</v>
      </c>
      <c r="H191" s="16">
        <v>45940</v>
      </c>
      <c r="I191" s="16">
        <v>45965</v>
      </c>
      <c r="J191" s="16"/>
      <c r="K191" s="4" t="s">
        <v>281</v>
      </c>
      <c r="L191" s="2" t="s">
        <v>10</v>
      </c>
      <c r="M191" s="2"/>
      <c r="N191" s="1"/>
      <c r="O191" s="1"/>
    </row>
    <row r="192" spans="1:15" x14ac:dyDescent="0.25">
      <c r="A192" s="3" t="s">
        <v>110</v>
      </c>
      <c r="B192" s="10" t="s">
        <v>20</v>
      </c>
      <c r="C192" s="10" t="s">
        <v>49</v>
      </c>
      <c r="D192" s="16">
        <v>45677</v>
      </c>
      <c r="E192" s="16">
        <v>45751</v>
      </c>
      <c r="F192" s="16">
        <v>45761</v>
      </c>
      <c r="G192" s="16">
        <v>45765</v>
      </c>
      <c r="H192" s="16">
        <v>45799</v>
      </c>
      <c r="I192" s="16">
        <v>45803</v>
      </c>
      <c r="J192" s="16">
        <v>45807</v>
      </c>
      <c r="K192" s="4" t="s">
        <v>210</v>
      </c>
      <c r="L192" s="2" t="s">
        <v>11</v>
      </c>
      <c r="M192" s="2" t="s">
        <v>13</v>
      </c>
      <c r="N192" s="1">
        <f>TAB_DASHBOARD[[#This Row],[- 7 -
 CHIUSA]]-TAB_DASHBOARD[[#This Row],[- 1 -
INCARICO RICEVUTO]]</f>
        <v>130</v>
      </c>
      <c r="O192" s="1"/>
    </row>
    <row r="193" spans="1:15" x14ac:dyDescent="0.25">
      <c r="A193" s="3" t="s">
        <v>118</v>
      </c>
      <c r="B193" s="10" t="s">
        <v>20</v>
      </c>
      <c r="C193" s="10" t="s">
        <v>49</v>
      </c>
      <c r="D193" s="16">
        <v>45477</v>
      </c>
      <c r="E193" s="16">
        <v>45497</v>
      </c>
      <c r="F193" s="16">
        <v>45497</v>
      </c>
      <c r="G193" s="16">
        <v>45799</v>
      </c>
      <c r="H193" s="16">
        <v>45852</v>
      </c>
      <c r="I193" s="16">
        <v>45960</v>
      </c>
      <c r="J193" s="16">
        <v>45961</v>
      </c>
      <c r="K193" s="4"/>
      <c r="L193" s="2" t="s">
        <v>10</v>
      </c>
      <c r="M193" s="2" t="s">
        <v>307</v>
      </c>
      <c r="N193" s="1">
        <f>TAB_DASHBOARD[[#This Row],[- 7 -
 CHIUSA]]-TAB_DASHBOARD[[#This Row],[- 1 -
INCARICO RICEVUTO]]</f>
        <v>484</v>
      </c>
      <c r="O193" s="1"/>
    </row>
    <row r="194" spans="1:15" ht="30" hidden="1" x14ac:dyDescent="0.25">
      <c r="A194" s="3" t="s">
        <v>294</v>
      </c>
      <c r="B194" s="10" t="s">
        <v>20</v>
      </c>
      <c r="C194" s="10" t="s">
        <v>45</v>
      </c>
      <c r="D194" s="16">
        <v>45821</v>
      </c>
      <c r="E194" s="16">
        <v>45917</v>
      </c>
      <c r="F194" s="16">
        <v>45917</v>
      </c>
      <c r="G194" s="16"/>
      <c r="H194" s="16"/>
      <c r="I194" s="16"/>
      <c r="J194" s="16"/>
      <c r="K194" s="4"/>
      <c r="L194" s="2" t="s">
        <v>11</v>
      </c>
      <c r="M194" s="2"/>
      <c r="N194" s="1"/>
      <c r="O194" s="1"/>
    </row>
    <row r="195" spans="1:15" hidden="1" x14ac:dyDescent="0.25">
      <c r="A195" s="3" t="s">
        <v>235</v>
      </c>
      <c r="B195" s="10" t="s">
        <v>20</v>
      </c>
      <c r="C195" s="10" t="s">
        <v>43</v>
      </c>
      <c r="D195" s="16">
        <v>45821</v>
      </c>
      <c r="E195" s="16"/>
      <c r="F195" s="16"/>
      <c r="G195" s="16"/>
      <c r="H195" s="16"/>
      <c r="I195" s="16"/>
      <c r="J195" s="16"/>
      <c r="K195" s="4"/>
      <c r="L195" s="2" t="s">
        <v>11</v>
      </c>
      <c r="M195" s="2"/>
      <c r="N195" s="1"/>
      <c r="O195" s="1"/>
    </row>
    <row r="196" spans="1:15" hidden="1" x14ac:dyDescent="0.25">
      <c r="A196" s="3" t="s">
        <v>170</v>
      </c>
      <c r="B196" s="10" t="s">
        <v>20</v>
      </c>
      <c r="C196" s="2" t="s">
        <v>44</v>
      </c>
      <c r="D196" s="16">
        <v>45929</v>
      </c>
      <c r="E196" s="16">
        <v>45930</v>
      </c>
      <c r="F196" s="16"/>
      <c r="G196" s="16"/>
      <c r="H196" s="16"/>
      <c r="I196" s="16"/>
      <c r="J196" s="16"/>
      <c r="K196" s="4" t="s">
        <v>305</v>
      </c>
      <c r="L196" s="2" t="s">
        <v>10</v>
      </c>
      <c r="M196" s="2"/>
      <c r="N196" s="1"/>
      <c r="O196" s="1"/>
    </row>
    <row r="197" spans="1:15" x14ac:dyDescent="0.25">
      <c r="A197" s="3" t="s">
        <v>195</v>
      </c>
      <c r="B197" s="10" t="s">
        <v>20</v>
      </c>
      <c r="C197" s="2" t="s">
        <v>49</v>
      </c>
      <c r="D197" s="16">
        <v>44992</v>
      </c>
      <c r="E197" s="16">
        <v>45050</v>
      </c>
      <c r="F197" s="16">
        <v>45762</v>
      </c>
      <c r="G197" s="16">
        <v>45764</v>
      </c>
      <c r="H197" s="16">
        <v>45764</v>
      </c>
      <c r="I197" s="16">
        <v>45775</v>
      </c>
      <c r="J197" s="16">
        <v>45775</v>
      </c>
      <c r="K197" s="29" t="s">
        <v>183</v>
      </c>
      <c r="L197" s="2" t="s">
        <v>11</v>
      </c>
      <c r="M197" s="2" t="s">
        <v>13</v>
      </c>
      <c r="N197" s="1">
        <f>TAB_DASHBOARD[[#This Row],[- 7 -
 CHIUSA]]-TAB_DASHBOARD[[#This Row],[- 1 -
INCARICO RICEVUTO]]</f>
        <v>783</v>
      </c>
      <c r="O197" s="1"/>
    </row>
    <row r="198" spans="1:15" x14ac:dyDescent="0.25">
      <c r="A198" s="3" t="s">
        <v>106</v>
      </c>
      <c r="B198" s="10" t="s">
        <v>20</v>
      </c>
      <c r="C198" s="2" t="s">
        <v>49</v>
      </c>
      <c r="D198" s="16">
        <v>45722</v>
      </c>
      <c r="E198" s="16">
        <v>45859</v>
      </c>
      <c r="F198" s="16">
        <v>45859</v>
      </c>
      <c r="G198" s="16">
        <v>45860</v>
      </c>
      <c r="H198" s="16">
        <v>45889</v>
      </c>
      <c r="I198" s="16">
        <v>45909</v>
      </c>
      <c r="J198" s="16">
        <v>45919</v>
      </c>
      <c r="K198" s="33" t="s">
        <v>183</v>
      </c>
      <c r="L198" s="2" t="s">
        <v>10</v>
      </c>
      <c r="M198" s="2" t="s">
        <v>13</v>
      </c>
      <c r="N198" s="1">
        <f>TAB_DASHBOARD[[#This Row],[- 7 -
 CHIUSA]]-TAB_DASHBOARD[[#This Row],[- 1 -
INCARICO RICEVUTO]]</f>
        <v>197</v>
      </c>
      <c r="O198" s="1"/>
    </row>
    <row r="199" spans="1:15" ht="30" x14ac:dyDescent="0.25">
      <c r="A199" s="3" t="s">
        <v>105</v>
      </c>
      <c r="B199" s="10" t="s">
        <v>20</v>
      </c>
      <c r="C199" s="2" t="s">
        <v>49</v>
      </c>
      <c r="D199" s="16">
        <v>45722</v>
      </c>
      <c r="E199" s="16">
        <v>45859</v>
      </c>
      <c r="F199" s="16">
        <v>45859</v>
      </c>
      <c r="G199" s="16">
        <v>45860</v>
      </c>
      <c r="H199" s="16">
        <v>45890</v>
      </c>
      <c r="I199" s="16">
        <v>45909</v>
      </c>
      <c r="J199" s="16">
        <v>45919</v>
      </c>
      <c r="K199" s="32" t="s">
        <v>254</v>
      </c>
      <c r="L199" s="2" t="s">
        <v>10</v>
      </c>
      <c r="M199" s="2" t="s">
        <v>13</v>
      </c>
      <c r="N199" s="1">
        <f>TAB_DASHBOARD[[#This Row],[- 7 -
 CHIUSA]]-TAB_DASHBOARD[[#This Row],[- 1 -
INCARICO RICEVUTO]]</f>
        <v>197</v>
      </c>
      <c r="O199" s="1"/>
    </row>
    <row r="200" spans="1:15" x14ac:dyDescent="0.25">
      <c r="A200" s="3" t="s">
        <v>243</v>
      </c>
      <c r="B200" s="10" t="s">
        <v>20</v>
      </c>
      <c r="C200" s="10" t="s">
        <v>49</v>
      </c>
      <c r="D200" s="16">
        <v>45435</v>
      </c>
      <c r="E200" s="16">
        <v>45792</v>
      </c>
      <c r="F200" s="16">
        <v>45792</v>
      </c>
      <c r="G200" s="16">
        <v>45792</v>
      </c>
      <c r="H200" s="16">
        <v>45813</v>
      </c>
      <c r="I200" s="16">
        <v>45818</v>
      </c>
      <c r="J200" s="16">
        <v>45835</v>
      </c>
      <c r="K200" s="29" t="s">
        <v>226</v>
      </c>
      <c r="L200" s="2" t="s">
        <v>10</v>
      </c>
      <c r="M200" s="2" t="s">
        <v>13</v>
      </c>
      <c r="N200" s="1">
        <f>TAB_DASHBOARD[[#This Row],[- 7 -
 CHIUSA]]-TAB_DASHBOARD[[#This Row],[- 1 -
INCARICO RICEVUTO]]</f>
        <v>400</v>
      </c>
      <c r="O200" s="1"/>
    </row>
    <row r="201" spans="1:15" x14ac:dyDescent="0.25">
      <c r="A201" s="3" t="s">
        <v>237</v>
      </c>
      <c r="B201" s="10" t="s">
        <v>20</v>
      </c>
      <c r="C201" s="2" t="s">
        <v>49</v>
      </c>
      <c r="D201" s="16">
        <v>45541</v>
      </c>
      <c r="E201" s="16">
        <v>45792</v>
      </c>
      <c r="F201" s="16">
        <v>45792</v>
      </c>
      <c r="G201" s="16">
        <v>45821</v>
      </c>
      <c r="H201" s="16">
        <v>45825</v>
      </c>
      <c r="I201" s="16">
        <v>45827</v>
      </c>
      <c r="J201" s="16">
        <v>45827</v>
      </c>
      <c r="K201" s="4" t="s">
        <v>218</v>
      </c>
      <c r="L201" s="2" t="s">
        <v>10</v>
      </c>
      <c r="M201" s="2" t="s">
        <v>13</v>
      </c>
      <c r="N201" s="1">
        <f>TAB_DASHBOARD[[#This Row],[- 7 -
 CHIUSA]]-TAB_DASHBOARD[[#This Row],[- 1 -
INCARICO RICEVUTO]]</f>
        <v>286</v>
      </c>
      <c r="O201" s="1"/>
    </row>
    <row r="202" spans="1:15" x14ac:dyDescent="0.25">
      <c r="A202" s="3" t="s">
        <v>171</v>
      </c>
      <c r="B202" s="10" t="s">
        <v>20</v>
      </c>
      <c r="C202" s="2" t="s">
        <v>49</v>
      </c>
      <c r="D202" s="16">
        <v>45848</v>
      </c>
      <c r="E202" s="16">
        <v>45866</v>
      </c>
      <c r="F202" s="16">
        <v>45866</v>
      </c>
      <c r="G202" s="16">
        <v>45868</v>
      </c>
      <c r="H202" s="16">
        <v>45894</v>
      </c>
      <c r="I202" s="16">
        <v>45895</v>
      </c>
      <c r="J202" s="16">
        <v>45898</v>
      </c>
      <c r="K202" s="14" t="s">
        <v>273</v>
      </c>
      <c r="L202" s="2" t="s">
        <v>11</v>
      </c>
      <c r="M202" s="2" t="s">
        <v>13</v>
      </c>
      <c r="N202" s="1">
        <f>TAB_DASHBOARD[[#This Row],[- 7 -
 CHIUSA]]-TAB_DASHBOARD[[#This Row],[- 1 -
INCARICO RICEVUTO]]</f>
        <v>50</v>
      </c>
      <c r="O202" s="1"/>
    </row>
  </sheetData>
  <phoneticPr fontId="5" type="noConversion"/>
  <conditionalFormatting sqref="C1:C1048576">
    <cfRule type="containsText" dxfId="53" priority="14" operator="containsText" text="SOSPESA">
      <formula>NOT(ISERROR(SEARCH("SOSPESA",C1)))</formula>
    </cfRule>
    <cfRule type="containsText" dxfId="52" priority="15" operator="containsText" text="RICHIESTA">
      <formula>NOT(ISERROR(SEARCH("RICHIESTA",C1)))</formula>
    </cfRule>
    <cfRule type="containsText" dxfId="51" priority="16" operator="containsText" text="CIVA">
      <formula>NOT(ISERROR(SEARCH("CIVA",C1)))</formula>
    </cfRule>
    <cfRule type="containsText" dxfId="50" priority="19" operator="containsText" text="PRONTI">
      <formula>NOT(ISERROR(SEARCH("PRONTI",C1)))</formula>
    </cfRule>
    <cfRule type="containsText" dxfId="49" priority="24" operator="containsText" text="ATTESA">
      <formula>NOT(ISERROR(SEARCH("ATTESA",C1)))</formula>
    </cfRule>
    <cfRule type="containsText" dxfId="48" priority="25" operator="containsText" text="CHIUSA">
      <formula>NOT(ISERROR(SEARCH("CHIUSA",C1)))</formula>
    </cfRule>
  </conditionalFormatting>
  <conditionalFormatting sqref="E1:E1048576">
    <cfRule type="expression" dxfId="47" priority="9">
      <formula>AND(NOT(ISBLANK($E1)), $E1&lt;=TODAY()-60, $F1="")</formula>
    </cfRule>
  </conditionalFormatting>
  <conditionalFormatting sqref="D11:D59 D170:D194 D63:D83 D3:D7 D203:D1047939 D201 D88:D163 D167 D1">
    <cfRule type="expression" dxfId="46" priority="26">
      <formula>AND(NOT(ISBLANK($D2)), $D2&lt;=TODAY()-60, $E2="")</formula>
    </cfRule>
  </conditionalFormatting>
  <conditionalFormatting sqref="F11:F59 F170:F194 F63:F83 F3:F7 F203:F1047939 F201 F88:F163 F167 F1">
    <cfRule type="expression" dxfId="45" priority="28">
      <formula>AND(NOT(ISBLANK($F2)), $F2&lt;=TODAY()-30, $G2="")</formula>
    </cfRule>
  </conditionalFormatting>
  <conditionalFormatting sqref="G11:G59 G170:G194 G63:G83 G3:G7 G203:G1047939 G201 G88:G163 G167 G1">
    <cfRule type="expression" dxfId="44" priority="29">
      <formula>AND(NOT(ISBLANK($G2)), $G2&lt;=TODAY()-30, $H2="")</formula>
    </cfRule>
  </conditionalFormatting>
  <conditionalFormatting sqref="H11:H59 H170:H194 H63:H83 H3:H7 H203:H1047939 H201 H88:H163 H167 H1">
    <cfRule type="expression" dxfId="43" priority="30">
      <formula>AND(NOT(ISBLANK($H2)), $H2&lt;=TODAY()-15, $I2="")</formula>
    </cfRule>
  </conditionalFormatting>
  <conditionalFormatting sqref="D8:D9 D60:D61">
    <cfRule type="expression" dxfId="42" priority="48">
      <formula>AND(NOT(ISBLANK($D11)), $D11&lt;=TODAY()-60, $E11="")</formula>
    </cfRule>
  </conditionalFormatting>
  <conditionalFormatting sqref="D197">
    <cfRule type="expression" dxfId="41" priority="58">
      <formula>AND(NOT(ISBLANK($D202)), $D202&lt;=TODAY()-60, $E202="")</formula>
    </cfRule>
  </conditionalFormatting>
  <conditionalFormatting sqref="D10 D62 D168:D169 D84:D87">
    <cfRule type="expression" dxfId="40" priority="82">
      <formula>AND(NOT(ISBLANK($D12)), $D12&lt;=TODAY()-60, $E12="")</formula>
    </cfRule>
  </conditionalFormatting>
  <conditionalFormatting sqref="F10 F62 F168:F169 F84:F87">
    <cfRule type="expression" dxfId="39" priority="86">
      <formula>AND(NOT(ISBLANK($F12)), $F12&lt;=TODAY()-30, $G12="")</formula>
    </cfRule>
  </conditionalFormatting>
  <conditionalFormatting sqref="G10 G62 G168:G169 G84:G87">
    <cfRule type="expression" dxfId="38" priority="90">
      <formula>AND(NOT(ISBLANK($G12)), $G12&lt;=TODAY()-30, $H12="")</formula>
    </cfRule>
  </conditionalFormatting>
  <conditionalFormatting sqref="H10 H62 H168:H169 H84:H87">
    <cfRule type="expression" dxfId="37" priority="94">
      <formula>AND(NOT(ISBLANK($H12)), $H12&lt;=TODAY()-15, $I12="")</formula>
    </cfRule>
  </conditionalFormatting>
  <conditionalFormatting sqref="H8:H9 H60:H61">
    <cfRule type="expression" dxfId="36" priority="2">
      <formula>AND(NOT(ISBLANK($H11)), $H11&lt;=TODAY()-15, $I11="")</formula>
    </cfRule>
  </conditionalFormatting>
  <conditionalFormatting sqref="F8:F9 F60:F61">
    <cfRule type="expression" dxfId="35" priority="155">
      <formula>AND(NOT(ISBLANK($F11)), $F11&lt;=TODAY()-30, $G11="")</formula>
    </cfRule>
  </conditionalFormatting>
  <conditionalFormatting sqref="G8:G9 G60:G61">
    <cfRule type="expression" dxfId="34" priority="157">
      <formula>AND(NOT(ISBLANK($G11)), $G11&lt;=TODAY()-30, $H11="")</formula>
    </cfRule>
  </conditionalFormatting>
  <conditionalFormatting sqref="H197">
    <cfRule type="expression" dxfId="33" priority="194">
      <formula>AND(NOT(ISBLANK($H202)), $H202&lt;=TODAY()-15, $I202="")</formula>
    </cfRule>
  </conditionalFormatting>
  <conditionalFormatting sqref="F197">
    <cfRule type="expression" dxfId="32" priority="195">
      <formula>AND(NOT(ISBLANK($F202)), $F202&lt;=TODAY()-30, $G202="")</formula>
    </cfRule>
  </conditionalFormatting>
  <conditionalFormatting sqref="G197">
    <cfRule type="expression" dxfId="31" priority="196">
      <formula>AND(NOT(ISBLANK($G202)), $G202&lt;=TODAY()-30, $H202="")</formula>
    </cfRule>
  </conditionalFormatting>
  <conditionalFormatting sqref="D195:D196">
    <cfRule type="expression" dxfId="30" priority="198">
      <formula>AND(NOT(ISBLANK($D201)), $D201&lt;=TODAY()-60, $E201="")</formula>
    </cfRule>
  </conditionalFormatting>
  <conditionalFormatting sqref="H195:H196">
    <cfRule type="expression" dxfId="29" priority="200">
      <formula>AND(NOT(ISBLANK($H201)), $H201&lt;=TODAY()-15, $I201="")</formula>
    </cfRule>
  </conditionalFormatting>
  <conditionalFormatting sqref="F195:F196">
    <cfRule type="expression" dxfId="28" priority="202">
      <formula>AND(NOT(ISBLANK($F201)), $F201&lt;=TODAY()-30, $G201="")</formula>
    </cfRule>
  </conditionalFormatting>
  <conditionalFormatting sqref="G195:G196">
    <cfRule type="expression" dxfId="27" priority="204">
      <formula>AND(NOT(ISBLANK($G201)), $G201&lt;=TODAY()-30, $H201="")</formula>
    </cfRule>
  </conditionalFormatting>
  <conditionalFormatting sqref="D2 D202 D198:D200 D164:D166">
    <cfRule type="expression" dxfId="26" priority="263">
      <formula>AND(NOT(ISBLANK(#REF!)), #REF!&lt;=TODAY()-60, #REF!="")</formula>
    </cfRule>
  </conditionalFormatting>
  <conditionalFormatting sqref="F2:G2 F202:G202 F198:G200 F164:G166">
    <cfRule type="expression" dxfId="25" priority="266">
      <formula>AND(NOT(ISBLANK(#REF!)), #REF!&lt;=TODAY()-30, #REF!="")</formula>
    </cfRule>
  </conditionalFormatting>
  <conditionalFormatting sqref="H2 H202 H198:H200 H164:H166">
    <cfRule type="expression" dxfId="24" priority="272">
      <formula>AND(NOT(ISBLANK(#REF!)), #REF!&lt;=TODAY()-15, #REF!="")</formula>
    </cfRule>
  </conditionalFormatting>
  <conditionalFormatting sqref="D1048395:D1048576">
    <cfRule type="expression" dxfId="23" priority="294">
      <formula>AND(NOT(ISBLANK($D314)), $D314&lt;=TODAY()-60, $E314="")</formula>
    </cfRule>
  </conditionalFormatting>
  <conditionalFormatting sqref="F1048395:F1048576">
    <cfRule type="expression" dxfId="22" priority="299">
      <formula>AND(NOT(ISBLANK($F314)), $F314&lt;=TODAY()-30, $G314="")</formula>
    </cfRule>
  </conditionalFormatting>
  <conditionalFormatting sqref="G1048395:G1048576">
    <cfRule type="expression" dxfId="21" priority="304">
      <formula>AND(NOT(ISBLANK($G314)), $G314&lt;=TODAY()-30, $H314="")</formula>
    </cfRule>
  </conditionalFormatting>
  <conditionalFormatting sqref="H1048395:H1048576">
    <cfRule type="expression" dxfId="20" priority="309">
      <formula>AND(NOT(ISBLANK($H314)), $H314&lt;=TODAY()-15, $I314="")</formula>
    </cfRule>
  </conditionalFormatting>
  <conditionalFormatting sqref="D1047940:D1048394">
    <cfRule type="expression" dxfId="19" priority="463">
      <formula>AND(NOT(ISBLANK(#REF!)), #REF!&lt;=TODAY()-60, #REF!="")</formula>
    </cfRule>
  </conditionalFormatting>
  <conditionalFormatting sqref="F1047940:G1048394">
    <cfRule type="expression" dxfId="18" priority="464">
      <formula>AND(NOT(ISBLANK(#REF!)), #REF!&lt;=TODAY()-30, #REF!="")</formula>
    </cfRule>
  </conditionalFormatting>
  <conditionalFormatting sqref="H1047940:H1048394">
    <cfRule type="expression" dxfId="17" priority="466">
      <formula>AND(NOT(ISBLANK(#REF!)), #REF!&lt;=TODAY()-15, #REF!="")</formula>
    </cfRule>
  </conditionalFormatting>
  <dataValidations disablePrompts="1" count="4">
    <dataValidation allowBlank="1" showInputMessage="1" sqref="D2:F202 G1:J1048576" xr:uid="{00000000-0002-0000-0000-000001000000}"/>
    <dataValidation type="list" errorStyle="information" allowBlank="1" showInputMessage="1" showErrorMessage="1" sqref="A2:A202" xr:uid="{A8C3638C-AF3F-4855-8392-4032F81E58E3}">
      <formula1>CLIENTI</formula1>
    </dataValidation>
    <dataValidation type="list" allowBlank="1" showInputMessage="1" sqref="C2:C202" xr:uid="{00000000-0002-0000-0000-000000000000}">
      <formula1>STATO</formula1>
    </dataValidation>
    <dataValidation type="list" allowBlank="1" showInputMessage="1" showErrorMessage="1" sqref="B2:B202" xr:uid="{044322A7-FEC5-4797-A313-8E2BEC108805}">
      <formula1>TIPOLOGIA</formula1>
    </dataValidation>
  </dataValidations>
  <pageMargins left="0.23622047244094491" right="0.23622047244094491" top="0.74803149606299213" bottom="0.74803149606299213" header="0.31496062992125984" footer="0.31496062992125984"/>
  <pageSetup paperSize="9" fitToHeight="0" orientation="landscape" r:id="rId1"/>
  <headerFooter>
    <oddHeader>&amp;CDASBOARD PRATICHE INAIL DM329/04</oddHead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000-000002000000}">
          <x14:formula1>
            <xm:f>Foglio2!$G$2:$G$3</xm:f>
          </x14:formula1>
          <xm:sqref>L2 L5:L17</xm:sqref>
        </x14:dataValidation>
        <x14:dataValidation type="list" allowBlank="1" showInputMessage="1" showErrorMessage="1" xr:uid="{5AD37C8E-5E94-4E0B-97D3-DACBADE15C03}">
          <x14:formula1>
            <xm:f>Foglio2!$G$2:$G$5</xm:f>
          </x14:formula1>
          <xm:sqref>L4 L18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K13"/>
  <sheetViews>
    <sheetView workbookViewId="0">
      <selection activeCell="D20" sqref="D20"/>
    </sheetView>
  </sheetViews>
  <sheetFormatPr defaultRowHeight="15" x14ac:dyDescent="0.25"/>
  <cols>
    <col min="1" max="1" width="23.5703125" bestFit="1" customWidth="1"/>
    <col min="3" max="3" width="13.28515625" bestFit="1" customWidth="1"/>
    <col min="5" max="5" width="17.7109375" bestFit="1" customWidth="1"/>
    <col min="7" max="7" width="13.140625" bestFit="1" customWidth="1"/>
    <col min="9" max="9" width="27.5703125" bestFit="1" customWidth="1"/>
    <col min="10" max="11" width="9.28515625" bestFit="1" customWidth="1"/>
  </cols>
  <sheetData>
    <row r="1" spans="1:11" x14ac:dyDescent="0.25">
      <c r="A1" s="7" t="s">
        <v>1</v>
      </c>
      <c r="C1" s="7" t="s">
        <v>3</v>
      </c>
      <c r="E1" s="7" t="s">
        <v>4</v>
      </c>
      <c r="G1" s="7" t="s">
        <v>9</v>
      </c>
      <c r="I1" s="7" t="s">
        <v>21</v>
      </c>
      <c r="J1" t="s">
        <v>27</v>
      </c>
      <c r="K1" t="s">
        <v>26</v>
      </c>
    </row>
    <row r="2" spans="1:11" x14ac:dyDescent="0.25">
      <c r="A2" t="s">
        <v>43</v>
      </c>
      <c r="C2" t="s">
        <v>5</v>
      </c>
      <c r="E2" t="s">
        <v>8</v>
      </c>
      <c r="G2" t="s">
        <v>10</v>
      </c>
      <c r="I2" t="s">
        <v>20</v>
      </c>
      <c r="J2" s="18">
        <v>150</v>
      </c>
      <c r="K2" s="18">
        <v>150</v>
      </c>
    </row>
    <row r="3" spans="1:11" x14ac:dyDescent="0.25">
      <c r="A3" t="s">
        <v>44</v>
      </c>
      <c r="C3" t="s">
        <v>8</v>
      </c>
      <c r="E3" t="s">
        <v>5</v>
      </c>
      <c r="G3" t="s">
        <v>11</v>
      </c>
      <c r="I3" t="s">
        <v>37</v>
      </c>
      <c r="J3" s="18">
        <v>100</v>
      </c>
      <c r="K3" s="18">
        <v>100</v>
      </c>
    </row>
    <row r="4" spans="1:11" x14ac:dyDescent="0.25">
      <c r="A4" t="s">
        <v>45</v>
      </c>
      <c r="C4" t="s">
        <v>6</v>
      </c>
      <c r="E4" t="s">
        <v>6</v>
      </c>
      <c r="G4" t="s">
        <v>17</v>
      </c>
      <c r="I4" t="s">
        <v>34</v>
      </c>
      <c r="J4" s="18">
        <v>250</v>
      </c>
      <c r="K4" s="18">
        <v>300</v>
      </c>
    </row>
    <row r="5" spans="1:11" x14ac:dyDescent="0.25">
      <c r="A5" t="s">
        <v>46</v>
      </c>
      <c r="G5" t="s">
        <v>29</v>
      </c>
      <c r="I5" t="s">
        <v>35</v>
      </c>
      <c r="J5" s="18">
        <v>150</v>
      </c>
      <c r="K5" s="18">
        <v>150</v>
      </c>
    </row>
    <row r="6" spans="1:11" x14ac:dyDescent="0.25">
      <c r="A6" t="s">
        <v>47</v>
      </c>
      <c r="I6" t="s">
        <v>24</v>
      </c>
      <c r="J6" s="18">
        <v>250</v>
      </c>
      <c r="K6" s="18">
        <v>200</v>
      </c>
    </row>
    <row r="7" spans="1:11" x14ac:dyDescent="0.25">
      <c r="A7" t="s">
        <v>48</v>
      </c>
      <c r="I7" t="s">
        <v>22</v>
      </c>
      <c r="J7" s="18">
        <v>150</v>
      </c>
      <c r="K7" s="18">
        <v>200</v>
      </c>
    </row>
    <row r="8" spans="1:11" x14ac:dyDescent="0.25">
      <c r="A8" t="s">
        <v>49</v>
      </c>
      <c r="I8" t="s">
        <v>23</v>
      </c>
      <c r="J8" s="18">
        <v>300</v>
      </c>
      <c r="K8" s="18">
        <v>300</v>
      </c>
    </row>
    <row r="9" spans="1:11" x14ac:dyDescent="0.25">
      <c r="A9" t="s">
        <v>57</v>
      </c>
      <c r="I9" t="s">
        <v>36</v>
      </c>
      <c r="J9" s="18">
        <v>100</v>
      </c>
      <c r="K9" s="18">
        <v>0</v>
      </c>
    </row>
    <row r="10" spans="1:11" x14ac:dyDescent="0.25">
      <c r="A10" t="s">
        <v>2</v>
      </c>
      <c r="I10" t="s">
        <v>28</v>
      </c>
    </row>
    <row r="11" spans="1:11" x14ac:dyDescent="0.25">
      <c r="I11" t="s">
        <v>33</v>
      </c>
      <c r="J11" s="18">
        <v>250</v>
      </c>
    </row>
    <row r="12" spans="1:11" x14ac:dyDescent="0.25">
      <c r="I12" t="s">
        <v>316</v>
      </c>
      <c r="J12" s="18">
        <v>100</v>
      </c>
    </row>
    <row r="13" spans="1:11" x14ac:dyDescent="0.25">
      <c r="I13" t="s">
        <v>325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4</vt:i4>
      </vt:variant>
    </vt:vector>
  </HeadingPairs>
  <TitlesOfParts>
    <vt:vector size="6" baseType="lpstr">
      <vt:lpstr>DASHBOARD</vt:lpstr>
      <vt:lpstr>Foglio2</vt:lpstr>
      <vt:lpstr>DASHBOARD!Area_stampa</vt:lpstr>
      <vt:lpstr>STATO</vt:lpstr>
      <vt:lpstr>TIPOLOGIA</vt:lpstr>
      <vt:lpstr>DASHBOARD!Titoli_stampa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 B</dc:creator>
  <cp:lastModifiedBy>FB</cp:lastModifiedBy>
  <cp:lastPrinted>2025-09-30T11:02:17Z</cp:lastPrinted>
  <dcterms:created xsi:type="dcterms:W3CDTF">2019-06-28T15:25:20Z</dcterms:created>
  <dcterms:modified xsi:type="dcterms:W3CDTF">2025-11-12T12:02:43Z</dcterms:modified>
</cp:coreProperties>
</file>