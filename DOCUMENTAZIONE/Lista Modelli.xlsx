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4\Desktop\"/>
    </mc:Choice>
  </mc:AlternateContent>
  <xr:revisionPtr revIDLastSave="0" documentId="13_ncr:1_{F3A9DA04-40F5-410B-A152-5F2F86D33412}" xr6:coauthVersionLast="47" xr6:coauthVersionMax="47" xr10:uidLastSave="{00000000-0000-0000-0000-000000000000}"/>
  <bookViews>
    <workbookView xWindow="-108" yWindow="-108" windowWidth="23256" windowHeight="12456" activeTab="1" xr2:uid="{1E08D592-BCBD-44C3-8C76-3ED28C471B25}"/>
  </bookViews>
  <sheets>
    <sheet name="Modelli" sheetId="2" r:id="rId1"/>
    <sheet name="Liste" sheetId="1" r:id="rId2"/>
  </sheets>
  <definedNames>
    <definedName name="IntCostruttori">#REF!</definedName>
    <definedName name="IntModelli">Modelli!$C:$G</definedName>
    <definedName name="IntTipo">#REF!</definedName>
    <definedName name="IntVasic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B2" i="1" a="1"/>
  <c r="B2" i="1" s="1"/>
  <c r="G157" i="2"/>
  <c r="G911" i="2"/>
  <c r="G387" i="2"/>
  <c r="G913" i="2"/>
  <c r="G912" i="2"/>
  <c r="G910" i="2"/>
  <c r="G381" i="2"/>
  <c r="G380" i="2"/>
  <c r="G468" i="2"/>
  <c r="G1190" i="2"/>
  <c r="G392" i="2"/>
  <c r="G53" i="2"/>
  <c r="G379" i="2"/>
  <c r="G991" i="2"/>
  <c r="G378" i="2"/>
  <c r="G1188" i="2"/>
  <c r="G989" i="2"/>
  <c r="G377" i="2"/>
  <c r="G388" i="2"/>
  <c r="G395" i="2"/>
  <c r="G386" i="2"/>
  <c r="G158" i="2"/>
  <c r="G156" i="2"/>
  <c r="G394" i="2"/>
  <c r="G191" i="2"/>
  <c r="G1191" i="2"/>
  <c r="G391" i="2"/>
  <c r="G390" i="2"/>
  <c r="G917" i="2"/>
  <c r="G968" i="2"/>
  <c r="G194" i="2"/>
  <c r="G190" i="2"/>
  <c r="G376" i="2"/>
  <c r="G52" i="2"/>
  <c r="G983" i="2"/>
  <c r="G916" i="2"/>
  <c r="G193" i="2"/>
  <c r="G918" i="2"/>
  <c r="G1189" i="2"/>
  <c r="G1187" i="2"/>
  <c r="D1187" i="2"/>
  <c r="G1186" i="2"/>
  <c r="D1186" i="2"/>
  <c r="G1185" i="2"/>
  <c r="D1185" i="2"/>
  <c r="G1184" i="2"/>
  <c r="G1183" i="2"/>
  <c r="G1182" i="2"/>
  <c r="D1182" i="2"/>
  <c r="G1181" i="2"/>
  <c r="D1181" i="2"/>
  <c r="G1180" i="2"/>
  <c r="D1180" i="2"/>
  <c r="G1179" i="2"/>
  <c r="D1179" i="2"/>
  <c r="G1178" i="2"/>
  <c r="D1178" i="2"/>
  <c r="G1177" i="2"/>
  <c r="D1177" i="2"/>
  <c r="G1176" i="2"/>
  <c r="D1176" i="2"/>
  <c r="G1175" i="2"/>
  <c r="D1175" i="2"/>
  <c r="G1174" i="2"/>
  <c r="D1174" i="2"/>
  <c r="G1173" i="2"/>
  <c r="G1172" i="2"/>
  <c r="D1172" i="2"/>
  <c r="G1171" i="2"/>
  <c r="G1170" i="2"/>
  <c r="G1169" i="2"/>
  <c r="G1168" i="2"/>
  <c r="D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0" i="2"/>
  <c r="G988" i="2"/>
  <c r="G987" i="2"/>
  <c r="G986" i="2"/>
  <c r="G985" i="2"/>
  <c r="G984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5" i="2"/>
  <c r="G914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3" i="2"/>
  <c r="G389" i="2"/>
  <c r="G385" i="2"/>
  <c r="G383" i="2"/>
  <c r="G382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D297" i="2"/>
  <c r="G296" i="2"/>
  <c r="D296" i="2"/>
  <c r="G295" i="2"/>
  <c r="D295" i="2"/>
  <c r="G294" i="2"/>
  <c r="D294" i="2"/>
  <c r="G293" i="2"/>
  <c r="D293" i="2"/>
  <c r="G292" i="2"/>
  <c r="D292" i="2"/>
  <c r="G291" i="2"/>
  <c r="D291" i="2"/>
  <c r="G290" i="2"/>
  <c r="D290" i="2"/>
  <c r="G289" i="2"/>
  <c r="D289" i="2"/>
  <c r="G288" i="2"/>
  <c r="D288" i="2"/>
  <c r="G287" i="2"/>
  <c r="D287" i="2"/>
  <c r="G286" i="2"/>
  <c r="D286" i="2"/>
  <c r="G285" i="2"/>
  <c r="D285" i="2"/>
  <c r="G284" i="2"/>
  <c r="D284" i="2"/>
  <c r="G283" i="2"/>
  <c r="D283" i="2"/>
  <c r="G282" i="2"/>
  <c r="D282" i="2"/>
  <c r="G281" i="2"/>
  <c r="D281" i="2"/>
  <c r="G280" i="2"/>
  <c r="D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2" i="2"/>
  <c r="G189" i="2"/>
  <c r="G188" i="2"/>
  <c r="G187" i="2"/>
  <c r="G186" i="2"/>
  <c r="G185" i="2"/>
  <c r="G184" i="2"/>
  <c r="G183" i="2"/>
  <c r="G182" i="2"/>
  <c r="G181" i="2"/>
  <c r="D181" i="2"/>
  <c r="G180" i="2"/>
  <c r="G179" i="2"/>
  <c r="G178" i="2"/>
  <c r="D178" i="2"/>
  <c r="G177" i="2"/>
  <c r="G176" i="2"/>
  <c r="G175" i="2"/>
  <c r="D175" i="2"/>
  <c r="G174" i="2"/>
  <c r="G173" i="2"/>
  <c r="G172" i="2"/>
  <c r="G171" i="2"/>
  <c r="G170" i="2"/>
  <c r="G169" i="2"/>
  <c r="G168" i="2"/>
  <c r="D168" i="2"/>
  <c r="G167" i="2"/>
  <c r="D167" i="2"/>
  <c r="G166" i="2"/>
  <c r="D166" i="2"/>
  <c r="G165" i="2"/>
  <c r="G164" i="2"/>
  <c r="D164" i="2"/>
  <c r="G163" i="2"/>
  <c r="D163" i="2"/>
  <c r="G162" i="2"/>
  <c r="D162" i="2"/>
  <c r="G161" i="2"/>
  <c r="D161" i="2"/>
  <c r="G160" i="2"/>
  <c r="G159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<sst xmlns="http://schemas.openxmlformats.org/spreadsheetml/2006/main" count="3974" uniqueCount="1021">
  <si>
    <t>TIPO</t>
  </si>
  <si>
    <t>MARCA</t>
  </si>
  <si>
    <t>MODELLO</t>
  </si>
  <si>
    <t>V(l)/FAD(l/min)</t>
  </si>
  <si>
    <t>PS/Ptar(bar)</t>
  </si>
  <si>
    <t>TS(°C)</t>
  </si>
  <si>
    <t>CAT_PED</t>
  </si>
  <si>
    <t>Serbatoio aria verticale</t>
  </si>
  <si>
    <t>A.ARIA C S.r.l. (ABAC)</t>
  </si>
  <si>
    <t>26.215.1</t>
  </si>
  <si>
    <t>-10 ÷ +120</t>
  </si>
  <si>
    <t>27.351.0</t>
  </si>
  <si>
    <t>-10 ÷ +80</t>
  </si>
  <si>
    <t>3BAY</t>
  </si>
  <si>
    <t>3CEY</t>
  </si>
  <si>
    <t>5H500</t>
  </si>
  <si>
    <t>5V500</t>
  </si>
  <si>
    <t>A10016</t>
  </si>
  <si>
    <t>-20 ÷ +180</t>
  </si>
  <si>
    <t>CQ092X</t>
  </si>
  <si>
    <t>-10 ÷ +100</t>
  </si>
  <si>
    <t>CQ100X</t>
  </si>
  <si>
    <t>CQ100Z</t>
  </si>
  <si>
    <t>EF721</t>
  </si>
  <si>
    <t>NF200Z</t>
  </si>
  <si>
    <t>NN200X</t>
  </si>
  <si>
    <t>NN200Z</t>
  </si>
  <si>
    <t>NN270X</t>
  </si>
  <si>
    <t>NN270Z</t>
  </si>
  <si>
    <t>P7720</t>
  </si>
  <si>
    <t>S20V012</t>
  </si>
  <si>
    <t>-10 ÷ +50</t>
  </si>
  <si>
    <t>37.215.1</t>
  </si>
  <si>
    <t>Serbatoio disoleatore</t>
  </si>
  <si>
    <t>-10 ÷ +200</t>
  </si>
  <si>
    <t>254K1</t>
  </si>
  <si>
    <t>256K1</t>
  </si>
  <si>
    <t>25ADK1</t>
  </si>
  <si>
    <t>25AEK1</t>
  </si>
  <si>
    <t>25DK1</t>
  </si>
  <si>
    <t>25GK1</t>
  </si>
  <si>
    <t>25IK1</t>
  </si>
  <si>
    <t>25IK2</t>
  </si>
  <si>
    <t>25KK1</t>
  </si>
  <si>
    <t>25QK2</t>
  </si>
  <si>
    <t>25UT1</t>
  </si>
  <si>
    <t>25YK1</t>
  </si>
  <si>
    <t>25ZK1</t>
  </si>
  <si>
    <t>2AC1</t>
  </si>
  <si>
    <t>2BE1</t>
  </si>
  <si>
    <t>2GR1</t>
  </si>
  <si>
    <t>2GT1</t>
  </si>
  <si>
    <t>2HT1</t>
  </si>
  <si>
    <t>2ZA1</t>
  </si>
  <si>
    <t>2ZB1</t>
  </si>
  <si>
    <t>5DK1</t>
  </si>
  <si>
    <t>7LK1</t>
  </si>
  <si>
    <t>NZ100X</t>
  </si>
  <si>
    <t>-20 ÷ +120</t>
  </si>
  <si>
    <t>U028</t>
  </si>
  <si>
    <t>UE028</t>
  </si>
  <si>
    <t>C2HT1</t>
  </si>
  <si>
    <t>Serbatoio aria orizzontale</t>
  </si>
  <si>
    <t>A.S.T.R.A. REFRIGERANTI S.R.L.</t>
  </si>
  <si>
    <t>AIR COM S.r.l.</t>
  </si>
  <si>
    <t>Compressore</t>
  </si>
  <si>
    <t xml:space="preserve">AIRTEAMS - AIR.COMP </t>
  </si>
  <si>
    <t>ME 04-10</t>
  </si>
  <si>
    <t>ALUP KOMPRESSOREN</t>
  </si>
  <si>
    <t>ALLEGRO 40</t>
  </si>
  <si>
    <t>Valvola di sicurezza</t>
  </si>
  <si>
    <t>ARMATUREN- UND METALLWERKE ZÖBLITZ GMBH</t>
  </si>
  <si>
    <t>810sGK (DN8 @16bar)</t>
  </si>
  <si>
    <t>-20 ÷ +200</t>
  </si>
  <si>
    <t>810sGK (DN10 @10bar)</t>
  </si>
  <si>
    <t>-60 ÷ +225</t>
  </si>
  <si>
    <t>810sGK (DN10 @14bar)</t>
  </si>
  <si>
    <t>810sGK (DN15 @10bar)</t>
  </si>
  <si>
    <t>810sGK (DN15 @14bar)</t>
  </si>
  <si>
    <t>810sGK (DN20 @10bar)</t>
  </si>
  <si>
    <t>810sGK (DN25 @10bar)</t>
  </si>
  <si>
    <t>SVW 10 (@10bar)</t>
  </si>
  <si>
    <t>-25 ÷ +180</t>
  </si>
  <si>
    <t>SVW 10 (@11,5bar)</t>
  </si>
  <si>
    <t>&gt;8097</t>
  </si>
  <si>
    <t>SVW 8 (@10bar)</t>
  </si>
  <si>
    <t>SVW 8 (@11,5bar)</t>
  </si>
  <si>
    <t>SVW 8 (@16bar)</t>
  </si>
  <si>
    <t>TVW 10 (@11,5bar)</t>
  </si>
  <si>
    <t>ATLAS COPCO AIRPOWER N.V.</t>
  </si>
  <si>
    <t>GA 10 (@10bar)</t>
  </si>
  <si>
    <t>GA 11 C (@10bar)</t>
  </si>
  <si>
    <t>GA 111 (@7.5bar)</t>
  </si>
  <si>
    <t>GA 18 (@10bar)</t>
  </si>
  <si>
    <t>GA 18 (@8,5bar)</t>
  </si>
  <si>
    <t>GA 22 (@8bar)</t>
  </si>
  <si>
    <t>GA 30 (@10bar)</t>
  </si>
  <si>
    <t>GA 15 (@10bar)</t>
  </si>
  <si>
    <t>GA 45 VSD+ (7,5-13bar)</t>
  </si>
  <si>
    <t>GA 45 VSD+ (4-7bar)</t>
  </si>
  <si>
    <t>BEHALTER-WERK BURGAU GMBH</t>
  </si>
  <si>
    <t>Separatore di condense</t>
  </si>
  <si>
    <t>BEKO TECHNOLOGIES S.r.l.</t>
  </si>
  <si>
    <t>QWIK-PURE 10</t>
  </si>
  <si>
    <t>+5 ÷ +50</t>
  </si>
  <si>
    <t>QWIK-PURE 15</t>
  </si>
  <si>
    <t>QWIK-PURE 30</t>
  </si>
  <si>
    <t>QWIK-PURE 60</t>
  </si>
  <si>
    <t>QWIK-PURE 90</t>
  </si>
  <si>
    <t>BOMECA srl</t>
  </si>
  <si>
    <t>RA1/075A</t>
  </si>
  <si>
    <t>CECCATO ARIA COMPRESSA S.R.L.</t>
  </si>
  <si>
    <t>BELTAIR PRO 270 C4R</t>
  </si>
  <si>
    <t>BELTAIR PRO 270 C5.5R</t>
  </si>
  <si>
    <t>BELTAIR PRO 90 C2 MR</t>
  </si>
  <si>
    <t>CDX 100</t>
  </si>
  <si>
    <t>CDX 12</t>
  </si>
  <si>
    <t>CDX 120</t>
  </si>
  <si>
    <t>CDX 150</t>
  </si>
  <si>
    <t>CDX 18</t>
  </si>
  <si>
    <t>CDX 180</t>
  </si>
  <si>
    <t>CDX 24</t>
  </si>
  <si>
    <t>CDX 240</t>
  </si>
  <si>
    <t>CDX 30</t>
  </si>
  <si>
    <t>CDX 300</t>
  </si>
  <si>
    <t>CDX 350</t>
  </si>
  <si>
    <t>CDX 36</t>
  </si>
  <si>
    <t>CDX 4</t>
  </si>
  <si>
    <t>CDX 41</t>
  </si>
  <si>
    <t>CDX 450</t>
  </si>
  <si>
    <t>CDX 500</t>
  </si>
  <si>
    <t>CDX 52</t>
  </si>
  <si>
    <t>CDX 6</t>
  </si>
  <si>
    <t>CDX 65</t>
  </si>
  <si>
    <t>CDX 700</t>
  </si>
  <si>
    <t>CDX 77</t>
  </si>
  <si>
    <t>CDX 840</t>
  </si>
  <si>
    <t>CDX 9</t>
  </si>
  <si>
    <t xml:space="preserve">CSA  20 (@10bar) IVR </t>
  </si>
  <si>
    <t>CSA  20 (@10bar) IVR+TANK270</t>
  </si>
  <si>
    <t>CSA  20 (@10bar) IVR+TANK500</t>
  </si>
  <si>
    <t xml:space="preserve">CSA  20 (@8bar) IVR </t>
  </si>
  <si>
    <t>CSA  20 (@8bar) IVR+TANK270</t>
  </si>
  <si>
    <t>CSA  20 (@8bar) IVR+TANK500</t>
  </si>
  <si>
    <t xml:space="preserve">CSA 10 (@10bar) </t>
  </si>
  <si>
    <t xml:space="preserve">CSA 10 (@10bar) IVR </t>
  </si>
  <si>
    <t>CSA 10 (@10bar) IVR+TANK270</t>
  </si>
  <si>
    <t>CSA 10 (@10bar) IVR+TANK500</t>
  </si>
  <si>
    <t>CSA 10 (@10bar)+TANK270</t>
  </si>
  <si>
    <t>CSA 10 (@10bar)+TANK500</t>
  </si>
  <si>
    <t xml:space="preserve">CSA 10 (@13bar) </t>
  </si>
  <si>
    <t>CSA 10 (@13bar)+TANK270</t>
  </si>
  <si>
    <t>CSA 10 (@13bar)+TANK500</t>
  </si>
  <si>
    <t xml:space="preserve">CSA 10 (@8bar) </t>
  </si>
  <si>
    <t xml:space="preserve">CSA 10 (@8bar) IVR </t>
  </si>
  <si>
    <t>CSA 10 (@8bar) IVR+TANK270</t>
  </si>
  <si>
    <t>CSA 10 (@8bar) IVR+TANK500</t>
  </si>
  <si>
    <t>CSA 10 (@8bar)+TANK270</t>
  </si>
  <si>
    <t>CSA 10 (@8bar)+TANK500</t>
  </si>
  <si>
    <t xml:space="preserve">CSA 15 (@10bar) </t>
  </si>
  <si>
    <t xml:space="preserve">CSA 15 (@10bar) IVR </t>
  </si>
  <si>
    <t>CSA 15 (@10bar) IVR+TANK270</t>
  </si>
  <si>
    <t>CSA 15 (@10bar) IVR+TANK500</t>
  </si>
  <si>
    <t>CSA 15 (@10bar)+TANK270</t>
  </si>
  <si>
    <t>CSA 15 (@10bar)+TANK500</t>
  </si>
  <si>
    <t xml:space="preserve">CSA 15 (@13bar) </t>
  </si>
  <si>
    <t>CSA 15 (@13bar)+TANK270</t>
  </si>
  <si>
    <t>CSA 15 (@13bar)+TANK500</t>
  </si>
  <si>
    <t xml:space="preserve">CSA 15 (@8bar) </t>
  </si>
  <si>
    <t xml:space="preserve">CSA 15 (@8bar) IVR </t>
  </si>
  <si>
    <t>CSA 15 (@8bar) IVR+TANK270</t>
  </si>
  <si>
    <t>CSA 15 (@8bar) IVR+TANK500</t>
  </si>
  <si>
    <t>CSA 15 (@8bar)+TANK270</t>
  </si>
  <si>
    <t>CSA 15 (@8bar)+TANK500</t>
  </si>
  <si>
    <t xml:space="preserve">CSA 20 (@10bar) </t>
  </si>
  <si>
    <t>CSA 20 (@10bar)+TANK270</t>
  </si>
  <si>
    <t>CSA 20 (@10bar)+TANK500</t>
  </si>
  <si>
    <t xml:space="preserve">CSA 20 (@13bar) </t>
  </si>
  <si>
    <t>CSA 20 (@13bar)+TANK270</t>
  </si>
  <si>
    <t>CSA 20 (@13bar)+TANK500</t>
  </si>
  <si>
    <t xml:space="preserve">CSA 20 (@8bar) </t>
  </si>
  <si>
    <t>CSA 20 (@8bar)+TANK270</t>
  </si>
  <si>
    <t>CSA 20 (@8bar)+TANK500</t>
  </si>
  <si>
    <t>CSA 5,5 (@10bar)</t>
  </si>
  <si>
    <t>CSA 5,5 (@8bar)</t>
  </si>
  <si>
    <t xml:space="preserve">CSA 7,5 (@10bar) </t>
  </si>
  <si>
    <t>CSA 7,5 (@10bar)+TANK270</t>
  </si>
  <si>
    <t>CSA 7,5 (@10bar)+TANK500</t>
  </si>
  <si>
    <t>CSA 7,5 (@8bar)</t>
  </si>
  <si>
    <t>CSA 7,5 (@8bar)+TANK270+TANK270</t>
  </si>
  <si>
    <t>CSA 7,5 (@8bar)+TANK500+TANK500</t>
  </si>
  <si>
    <t>CSB 25/10</t>
  </si>
  <si>
    <t>CSB 25/13</t>
  </si>
  <si>
    <t>CSB 25/8</t>
  </si>
  <si>
    <t>CSB 30/10</t>
  </si>
  <si>
    <t>CSB 30 IVR (max 10bar)</t>
  </si>
  <si>
    <t>CSB 30 IVR (max 8bar)</t>
  </si>
  <si>
    <t>CSC 40 (@8bar)</t>
  </si>
  <si>
    <t>CSC 40 (@10bar)</t>
  </si>
  <si>
    <t>CSC 40 (@13 bar)</t>
  </si>
  <si>
    <t>CSC 50 (@8bar)</t>
  </si>
  <si>
    <t>CSC 50 (@10bar)</t>
  </si>
  <si>
    <t>CSC 50 (@13 bar)</t>
  </si>
  <si>
    <t>CSC 60 (@8bar)</t>
  </si>
  <si>
    <t>CSC 60 (@10bar)</t>
  </si>
  <si>
    <t>CSC 60 (@13 bar)</t>
  </si>
  <si>
    <t>CSC 75 (@8bar)</t>
  </si>
  <si>
    <t>CSC 75 (@10bar)</t>
  </si>
  <si>
    <t>CSC 75 (@13 bar)</t>
  </si>
  <si>
    <t>CSC 100 (@8bar)</t>
  </si>
  <si>
    <t>CSC 100 (@10bar)</t>
  </si>
  <si>
    <t>CSC 100 (@13 bar)</t>
  </si>
  <si>
    <t>CSC 40 IVR</t>
  </si>
  <si>
    <t>CSC 50 IVR</t>
  </si>
  <si>
    <t>CSC 60 IVR</t>
  </si>
  <si>
    <t>CSM 7,5 (@8bar)</t>
  </si>
  <si>
    <t>CSM 7,5 (@10bar)</t>
  </si>
  <si>
    <t>CSM 10 (8bar)</t>
  </si>
  <si>
    <t>CSM 10 (10bar)</t>
  </si>
  <si>
    <t>CSM 10 (13bar)</t>
  </si>
  <si>
    <t>CSM 15 (@8bar)</t>
  </si>
  <si>
    <t>CSM 15 (@10bar)</t>
  </si>
  <si>
    <t>CSM 15 (@13bar)</t>
  </si>
  <si>
    <t>CSM 20 (@8bar)</t>
  </si>
  <si>
    <t>CSM 20 (@10bar)</t>
  </si>
  <si>
    <t>CSM 20 (@13bar)</t>
  </si>
  <si>
    <t>CSM 10/10 BX</t>
  </si>
  <si>
    <t>CSM 10/10 DX-500</t>
  </si>
  <si>
    <t>CSM 10/10 X-500</t>
  </si>
  <si>
    <t>CSM 10/13 BX</t>
  </si>
  <si>
    <t>CSM 10/13 DX-500</t>
  </si>
  <si>
    <t>CSM 10/13 X-500</t>
  </si>
  <si>
    <t>CSM 10/8 BX</t>
  </si>
  <si>
    <t>CSM 10/8 DX-500</t>
  </si>
  <si>
    <t>CSM 10/8 X-500</t>
  </si>
  <si>
    <t>CSM 15/10 BX</t>
  </si>
  <si>
    <t>CSM 15/10 DX-500</t>
  </si>
  <si>
    <t>CSM 15/10 X-500</t>
  </si>
  <si>
    <t>CSM 15/13 BX</t>
  </si>
  <si>
    <t>CSM 15/13 DX-500</t>
  </si>
  <si>
    <t>CSM 15/13 X-500</t>
  </si>
  <si>
    <t>CSM 15/8 BX</t>
  </si>
  <si>
    <t>CSM 15/8 DX-500</t>
  </si>
  <si>
    <t>CSM 15/8 X-500</t>
  </si>
  <si>
    <t>CSM 20/10 DX-500</t>
  </si>
  <si>
    <t>CSM 20/10 X-500</t>
  </si>
  <si>
    <t>CSM 20/10BX</t>
  </si>
  <si>
    <t>CSM 20/13 BX</t>
  </si>
  <si>
    <t>CSM 20/13 DX-500</t>
  </si>
  <si>
    <t>CSM 20/13 X-500</t>
  </si>
  <si>
    <t>CSM 20/8 BX</t>
  </si>
  <si>
    <t>CSM 20/8 DX-500</t>
  </si>
  <si>
    <t>CSM 20/8 X-500</t>
  </si>
  <si>
    <t>CSM 3 B MINI</t>
  </si>
  <si>
    <t>CSM 3 D MINI</t>
  </si>
  <si>
    <t>CSM 3 MINI</t>
  </si>
  <si>
    <t>CSM 4 B MINI</t>
  </si>
  <si>
    <t>CSM 4 D MINI</t>
  </si>
  <si>
    <t>CSM 4 MINI</t>
  </si>
  <si>
    <t>CSM 5,5 B MINI</t>
  </si>
  <si>
    <t>CSM 5,5 Bx MINI</t>
  </si>
  <si>
    <t>CSM 5,5 D MINI</t>
  </si>
  <si>
    <t>CSM 5,5 DX MINI</t>
  </si>
  <si>
    <t>CSM 5,5 MINI</t>
  </si>
  <si>
    <t>CSM 5,5 X MINI</t>
  </si>
  <si>
    <t>CSM 7,5 BX MINI</t>
  </si>
  <si>
    <t>CSM 7,5 DX MINI</t>
  </si>
  <si>
    <t>CSM 7,5 X MINI</t>
  </si>
  <si>
    <t>CSM 7,5/10 BX</t>
  </si>
  <si>
    <t>CSM 7,5/10 DX-500</t>
  </si>
  <si>
    <t>CSM 7,5/10 X-500</t>
  </si>
  <si>
    <t>CSM 7,5/8 BX</t>
  </si>
  <si>
    <t>CSM 7,5/8 DX-500</t>
  </si>
  <si>
    <t>CSM 7,5/8 X-500</t>
  </si>
  <si>
    <t>FONOCOMPACT PRO 270 F5 5S</t>
  </si>
  <si>
    <t>FONOCOMPACT PRO 500 F10XSE</t>
  </si>
  <si>
    <t>FONOCOMPACT PRO F8XS</t>
  </si>
  <si>
    <t>XA600</t>
  </si>
  <si>
    <t>RLC 15/10</t>
  </si>
  <si>
    <t>RLC 20/8</t>
  </si>
  <si>
    <t>ROTORDRY</t>
  </si>
  <si>
    <t>RLE 30/10</t>
  </si>
  <si>
    <t>DRD 60 IVR PM (@12,5bar)</t>
  </si>
  <si>
    <t>DRD 60 IVR PM (@9,5bar)</t>
  </si>
  <si>
    <t>DRD 60 IVR PM (@7bar)</t>
  </si>
  <si>
    <t>DRD 75 IVR PM  (@12,5bar)</t>
  </si>
  <si>
    <t>DRD 75 IVR PM (@9,5bar)</t>
  </si>
  <si>
    <t>DRD 75 IVR PM  (@7bar)</t>
  </si>
  <si>
    <t>DRD 100 IVR PM  (@12,5bar)</t>
  </si>
  <si>
    <t>DRD 100 IVR PM (@9,5bar)</t>
  </si>
  <si>
    <t>DRD 100 IVR PM  (@7bar)</t>
  </si>
  <si>
    <t>FONOCOMPACT PRO 100 F3S</t>
  </si>
  <si>
    <t>FONOCOMPACT PRO 270 F6S</t>
  </si>
  <si>
    <t>CO.INOX S.r.l.</t>
  </si>
  <si>
    <t>CORDIVARI S.r.l.</t>
  </si>
  <si>
    <t>AC 1000/12 VT</t>
  </si>
  <si>
    <t>-0 ÷ +50</t>
  </si>
  <si>
    <t>ELBI S.p.A.</t>
  </si>
  <si>
    <t>ACZ CE 2000/12</t>
  </si>
  <si>
    <t>FINI - FNA S.p.A.</t>
  </si>
  <si>
    <t>BK119-270-5,5T</t>
  </si>
  <si>
    <t>Essiccatore frigorifero</t>
  </si>
  <si>
    <t>FRIULAIR S.r.l.</t>
  </si>
  <si>
    <t>AMD 3</t>
  </si>
  <si>
    <t>AMD 6</t>
  </si>
  <si>
    <t>AMD 9</t>
  </si>
  <si>
    <t>AMD 12</t>
  </si>
  <si>
    <t>AMD 18</t>
  </si>
  <si>
    <t>AMD 25</t>
  </si>
  <si>
    <t>AMD 32</t>
  </si>
  <si>
    <t>AMD 43</t>
  </si>
  <si>
    <t>AMD 52</t>
  </si>
  <si>
    <t>AMD 61</t>
  </si>
  <si>
    <t>AMD 75</t>
  </si>
  <si>
    <t>AMD 105</t>
  </si>
  <si>
    <t>AMD 130</t>
  </si>
  <si>
    <t>AMD 168</t>
  </si>
  <si>
    <t>AMD 190</t>
  </si>
  <si>
    <t>AMD 220</t>
  </si>
  <si>
    <t>ACT 3</t>
  </si>
  <si>
    <t>ACT 5</t>
  </si>
  <si>
    <t>ACT 8</t>
  </si>
  <si>
    <t>ACT 12</t>
  </si>
  <si>
    <t>ACT 18</t>
  </si>
  <si>
    <t>ACT 23</t>
  </si>
  <si>
    <t>ACT 30</t>
  </si>
  <si>
    <t>ACT 40</t>
  </si>
  <si>
    <t>ACT 55</t>
  </si>
  <si>
    <t>ACT 60</t>
  </si>
  <si>
    <t>ACT 80</t>
  </si>
  <si>
    <t>ACT 100</t>
  </si>
  <si>
    <t>ACT 120</t>
  </si>
  <si>
    <t>ACT 140</t>
  </si>
  <si>
    <t>ACT 160</t>
  </si>
  <si>
    <t>ACT 180</t>
  </si>
  <si>
    <t>ACT 210</t>
  </si>
  <si>
    <t>ACT 250</t>
  </si>
  <si>
    <t>ACT 300</t>
  </si>
  <si>
    <t>ACT 360</t>
  </si>
  <si>
    <t>ACT 400</t>
  </si>
  <si>
    <t>ACT 500</t>
  </si>
  <si>
    <t>ACT 600</t>
  </si>
  <si>
    <t>ACT 720</t>
  </si>
  <si>
    <t>ACT 900</t>
  </si>
  <si>
    <t>ACT 1100</t>
  </si>
  <si>
    <t>ACT 1200</t>
  </si>
  <si>
    <t>ACT 1500</t>
  </si>
  <si>
    <t>ACT 1800</t>
  </si>
  <si>
    <t>ACT 2200</t>
  </si>
  <si>
    <t>ACT 2400</t>
  </si>
  <si>
    <t>ACT 3000</t>
  </si>
  <si>
    <t>PLH 4c</t>
  </si>
  <si>
    <t>PLH 8c</t>
  </si>
  <si>
    <t>PLH 12c</t>
  </si>
  <si>
    <t>PLH 15</t>
  </si>
  <si>
    <t>PLH 22</t>
  </si>
  <si>
    <t>PLH 30</t>
  </si>
  <si>
    <t>PLH 40</t>
  </si>
  <si>
    <t>PLH 50</t>
  </si>
  <si>
    <t>PLH 75</t>
  </si>
  <si>
    <t>PLH 100</t>
  </si>
  <si>
    <t>PLH 130</t>
  </si>
  <si>
    <t>PLH 160</t>
  </si>
  <si>
    <t>PLH 210</t>
  </si>
  <si>
    <t>PLH 270</t>
  </si>
  <si>
    <t>PLH 380</t>
  </si>
  <si>
    <t>PLH 400</t>
  </si>
  <si>
    <t>PLH 500</t>
  </si>
  <si>
    <t>PLH 660</t>
  </si>
  <si>
    <t>PLH 830</t>
  </si>
  <si>
    <t>PLH 1000</t>
  </si>
  <si>
    <t>FMD9</t>
  </si>
  <si>
    <t>FMD 32</t>
  </si>
  <si>
    <t>FMD6/AC</t>
  </si>
  <si>
    <t>FMD18/AC</t>
  </si>
  <si>
    <t>INGERSOLL-RAND CO.LTD</t>
  </si>
  <si>
    <t>INR 22 K</t>
  </si>
  <si>
    <t>KAESER KOMPRESSOREN SE</t>
  </si>
  <si>
    <t>SXC 8 (@7,5bar)</t>
  </si>
  <si>
    <t>SXC 8 (@13bar)</t>
  </si>
  <si>
    <t>SXC 8 (@10bar)</t>
  </si>
  <si>
    <t>SXC 6 (@7,5bar)</t>
  </si>
  <si>
    <t>SXC 6 (@13bar)</t>
  </si>
  <si>
    <t>SXC 6 (@10bar)</t>
  </si>
  <si>
    <t>SXC 4 (@7,5bar)</t>
  </si>
  <si>
    <t>SXC 4 (@13bar)</t>
  </si>
  <si>
    <t>SXC 4 (@10bar)</t>
  </si>
  <si>
    <t>SXC 3 (@7,5bar)</t>
  </si>
  <si>
    <t>SXC 3 (@10bar)</t>
  </si>
  <si>
    <t>SX 8 (@7,5bar)</t>
  </si>
  <si>
    <t>SX 8 (@13bar)</t>
  </si>
  <si>
    <t>SX 8 (@10bar)</t>
  </si>
  <si>
    <t>SX 6 (@7,5bar)</t>
  </si>
  <si>
    <t>SX 6 (@13bar)</t>
  </si>
  <si>
    <t>SX 6 (@10bar)</t>
  </si>
  <si>
    <t>SX 4 (@7,5bar)</t>
  </si>
  <si>
    <t>SX 4 (@13bar)</t>
  </si>
  <si>
    <t>SX 4 (@10bar)</t>
  </si>
  <si>
    <t>SX 3 (@7,5bar)</t>
  </si>
  <si>
    <t>SX 3 (@10bar)</t>
  </si>
  <si>
    <t>SVW 8</t>
  </si>
  <si>
    <t>SM 9T (@7,5bar)</t>
  </si>
  <si>
    <t>SM 9T (@13bar)</t>
  </si>
  <si>
    <t>SM 9T (@10bar)</t>
  </si>
  <si>
    <t>SM 9 (@7,5bar)</t>
  </si>
  <si>
    <t>SM 9 (@13bar)</t>
  </si>
  <si>
    <t>SM 9 (@10bar)</t>
  </si>
  <si>
    <t>SM 8 (@8bar)</t>
  </si>
  <si>
    <t>SM 8 (@10bar)</t>
  </si>
  <si>
    <t>SM 16 T (@7,5bar)</t>
  </si>
  <si>
    <t>SM 16 T (@13bar)</t>
  </si>
  <si>
    <t>SM 16 T (@10bar)</t>
  </si>
  <si>
    <t>SM 16 (5,5-8bar)</t>
  </si>
  <si>
    <t>SM 16 (@8,5-11bar)</t>
  </si>
  <si>
    <t>SM 16 (@11,5-15bar)</t>
  </si>
  <si>
    <t>Compressore con essiccatore integrato</t>
  </si>
  <si>
    <t>AIRTOWER 11 (@10bar)</t>
  </si>
  <si>
    <t>AIRTOWER 11 (@13bar)</t>
  </si>
  <si>
    <t>AIRTOWER 11 (@7,5bar)</t>
  </si>
  <si>
    <t>AIRTOWER 19 (@10bar)</t>
  </si>
  <si>
    <t>AIRTOWER 19 (@13bar)</t>
  </si>
  <si>
    <t>AIRTOWER 19 (@7,5bar)</t>
  </si>
  <si>
    <t>AIRTOWER 3 (@10bar)</t>
  </si>
  <si>
    <t>AIRTOWER 3 (@7,5bar)</t>
  </si>
  <si>
    <t>AIRTOWER 4 (@10bar)</t>
  </si>
  <si>
    <t>AIRTOWER 4 (@7,5bar)</t>
  </si>
  <si>
    <t>AIRTOWER 6 (@10bar)</t>
  </si>
  <si>
    <t>AIRTOWER 6 (@13bar)</t>
  </si>
  <si>
    <t>AIRTOWER 6 (@7,5bar)</t>
  </si>
  <si>
    <t>AIRTOWER 8 (@10bar)</t>
  </si>
  <si>
    <t>AIRTOWER 8 (@13bar)</t>
  </si>
  <si>
    <t>AIRTOWER 8 (@7,5bar)</t>
  </si>
  <si>
    <t>SM 15T (@7,5bar)</t>
  </si>
  <si>
    <t>SM 15T (@13bar)</t>
  </si>
  <si>
    <t>SM 15T (@10bar)</t>
  </si>
  <si>
    <t>SM 15 (@7,5bar)</t>
  </si>
  <si>
    <t>SM 15 (@13bar)</t>
  </si>
  <si>
    <t>SM 15 (@10bar)</t>
  </si>
  <si>
    <t>SM 13T SFC (@7,5bar)</t>
  </si>
  <si>
    <t>SM 13T SFC (@13bar)</t>
  </si>
  <si>
    <t>SM 13T SFC (@10bar)</t>
  </si>
  <si>
    <t>SM 13 T (@7,5bar)</t>
  </si>
  <si>
    <t>SM 13 T (@13bar)</t>
  </si>
  <si>
    <t>SM 13 T (@10bar)</t>
  </si>
  <si>
    <t>SM 13 SFC (@7,5bar)</t>
  </si>
  <si>
    <t>SM 13 SFC (@13bar)</t>
  </si>
  <si>
    <t>SM 13 SFC (@10bar)</t>
  </si>
  <si>
    <t>SM 13 (@7,5bar)</t>
  </si>
  <si>
    <t>SM 13 (@13bar)</t>
  </si>
  <si>
    <t>SM 13 (@10bar)</t>
  </si>
  <si>
    <t>SM 12T SFC (@7,5bar)</t>
  </si>
  <si>
    <t>SM 12T SFC (@13bar)</t>
  </si>
  <si>
    <t>SM 12T SFC (@10bar)</t>
  </si>
  <si>
    <t>SM 12T (@7,5bar)</t>
  </si>
  <si>
    <t>SM 12T (@13bar)</t>
  </si>
  <si>
    <t>SM 12T (@10bar)</t>
  </si>
  <si>
    <t>SM 12 SFC (@7,5bar)</t>
  </si>
  <si>
    <t>SM 12 SFC (@13bar)</t>
  </si>
  <si>
    <t>SM 12 SFC (@10bar)</t>
  </si>
  <si>
    <t>SM 12 (@7,5bar)</t>
  </si>
  <si>
    <t>SM 12 (@13bar)</t>
  </si>
  <si>
    <t>SM 12 (@10bar)</t>
  </si>
  <si>
    <t>SM 11 (@7,5bar)</t>
  </si>
  <si>
    <t>SM 11 (@10bar)</t>
  </si>
  <si>
    <t>SM 10 T (@7,5bar)</t>
  </si>
  <si>
    <t>SM 10 T (@13bar)</t>
  </si>
  <si>
    <t>SM 10 T (@10bar)</t>
  </si>
  <si>
    <t>SM 10 (@7,5bar)</t>
  </si>
  <si>
    <t>SM 10 (@13bar)</t>
  </si>
  <si>
    <t>SM 10 (@10bar)</t>
  </si>
  <si>
    <t>SK 26 (@7,5 bar)</t>
  </si>
  <si>
    <t>SK 26 (@10 bar)</t>
  </si>
  <si>
    <t>SK 25 T SFC (@7,5bar)</t>
  </si>
  <si>
    <t>SK 25 T SFC (@13bar)</t>
  </si>
  <si>
    <t>SK 25 T SFC (@10bar)</t>
  </si>
  <si>
    <t>SK 25 T (@7,5bar)</t>
  </si>
  <si>
    <t>SK 25 T (@13bar)</t>
  </si>
  <si>
    <t>SK 25 T (@10bar)</t>
  </si>
  <si>
    <t>SK 25 SFC (8,5-11bar)</t>
  </si>
  <si>
    <t>SK 25 SFC (5,5-8bar)</t>
  </si>
  <si>
    <t>SK 25 SFC (11,5-15bar)</t>
  </si>
  <si>
    <t>SK 25 (@7,5bar)</t>
  </si>
  <si>
    <t>SK 25 (@13bar)</t>
  </si>
  <si>
    <t>SK 25 (@10bar)</t>
  </si>
  <si>
    <t>SK 24 T SFC (@7,5bar)</t>
  </si>
  <si>
    <t>SK 24 T SFC (@13bar)</t>
  </si>
  <si>
    <t>SK 24 T SFC (@10bar)</t>
  </si>
  <si>
    <t>SK 24 T (@7,5bar)</t>
  </si>
  <si>
    <t>SK 24 T (@13bar)</t>
  </si>
  <si>
    <t>SK 24 T (@10bar)</t>
  </si>
  <si>
    <t>SK 24 (@7,5bar)</t>
  </si>
  <si>
    <t>SK 24 (@13bar)</t>
  </si>
  <si>
    <t>SK 24 (@10bar)</t>
  </si>
  <si>
    <t>SK 22 T SFC (@7,5bar)</t>
  </si>
  <si>
    <t>SK 22 T SFC (@13bar)</t>
  </si>
  <si>
    <t>SK 22 T SFC (@10bar)</t>
  </si>
  <si>
    <t>SK 22 T (@7,5bar)</t>
  </si>
  <si>
    <t>SK 22 T (@13bar)</t>
  </si>
  <si>
    <t>SK 22 T (@10bar)</t>
  </si>
  <si>
    <t>SK 22 SFC (8,5-11bar)</t>
  </si>
  <si>
    <t>SK 22 SFC (5,5-8bar)</t>
  </si>
  <si>
    <t>SK 22 SFC (11,5-15bar)</t>
  </si>
  <si>
    <t>SK 22 (@7,5bar)</t>
  </si>
  <si>
    <t>SK 22 (@13bar)</t>
  </si>
  <si>
    <t>SK 22 (@10bar)</t>
  </si>
  <si>
    <t>SK 21 T (@7,5bar)</t>
  </si>
  <si>
    <t>SK 21 T (@13bar)</t>
  </si>
  <si>
    <t>SK 21 T (@10bar)</t>
  </si>
  <si>
    <t>SK 21 SFC (@7,5bar)</t>
  </si>
  <si>
    <t>SK 21 SFC (@13bar)</t>
  </si>
  <si>
    <t>SK 21 SFC (@10bar)</t>
  </si>
  <si>
    <t>SK 21 (@7,5bar)</t>
  </si>
  <si>
    <t>SK 21 (@13bar)</t>
  </si>
  <si>
    <t>SK 21 (@10bar)</t>
  </si>
  <si>
    <t>SK 19 (@7,5bar)</t>
  </si>
  <si>
    <t>SK 19 (@10bar)</t>
  </si>
  <si>
    <t>I.COMP 3</t>
  </si>
  <si>
    <t>DSD 241 (max8,5bar)</t>
  </si>
  <si>
    <t>DSD 241 (max15bar)</t>
  </si>
  <si>
    <t>DSD 241 (max12bar)</t>
  </si>
  <si>
    <t>DSD 240 (@7,5bar)</t>
  </si>
  <si>
    <t>DSD 240 (@13bar)</t>
  </si>
  <si>
    <t>DSD 240 (@10bar)</t>
  </si>
  <si>
    <t>DSD 205 (@7,5bar)</t>
  </si>
  <si>
    <t>DSD 205 (@13bar)</t>
  </si>
  <si>
    <t>DSD 205 (@10bar)</t>
  </si>
  <si>
    <t>DSD 202 SFC (6-10bar)</t>
  </si>
  <si>
    <t>DSD 201 (max8,5bar)</t>
  </si>
  <si>
    <t>DSD 201 (max15bar)</t>
  </si>
  <si>
    <t>DSD 201 (max12bar)</t>
  </si>
  <si>
    <t>DSD 175 (9-12bar)</t>
  </si>
  <si>
    <t>DSD 171 (9-12bar)</t>
  </si>
  <si>
    <t>DSD 141 (9,5-12bar)</t>
  </si>
  <si>
    <t>DSD 141 (5,5-9bar)</t>
  </si>
  <si>
    <t>DSD 141 (12,5-15bar)</t>
  </si>
  <si>
    <t>DS 140 (@7,5bar)</t>
  </si>
  <si>
    <t>DS 140 (@13bar)</t>
  </si>
  <si>
    <t>DS 140 (@10bar)</t>
  </si>
  <si>
    <t>CSDX 175 SFC (max8,5bar)</t>
  </si>
  <si>
    <t>CSDX 165 SFC (max8,5bar)</t>
  </si>
  <si>
    <t>CSDX 165 SFC (max12bar)</t>
  </si>
  <si>
    <t>CSDX 165 SFC (@15bar)</t>
  </si>
  <si>
    <t>CSDX 165 (@8,5bar)</t>
  </si>
  <si>
    <t>CSDX 165 (@13bar)</t>
  </si>
  <si>
    <t>CSDX 165 (@10bar)</t>
  </si>
  <si>
    <t>CSDX 162 SFC</t>
  </si>
  <si>
    <t>CSDX 140 SFC (@7,5bar)</t>
  </si>
  <si>
    <t>CSDX 140 SFC (@13bar)</t>
  </si>
  <si>
    <t>CSDX 140 SFC (@10bar)</t>
  </si>
  <si>
    <t>CSDX 140 (@7,5bar)</t>
  </si>
  <si>
    <t>CSDX 140 (@13bar)</t>
  </si>
  <si>
    <t>CSDX 140 (@10bar)</t>
  </si>
  <si>
    <t>CSDX 137 (@7,5bar)</t>
  </si>
  <si>
    <t>CSDX 137 (@13bar)</t>
  </si>
  <si>
    <t>CSDX 137 (@10bar)</t>
  </si>
  <si>
    <t>CSD 85 SFC (@7,5bar)</t>
  </si>
  <si>
    <t>CSD 85 SFC (@13bar)</t>
  </si>
  <si>
    <t>CSD 85 SFC (@10bar)</t>
  </si>
  <si>
    <t>CSD 85 (@7,5bar)</t>
  </si>
  <si>
    <t>CSD 85 (@13bar)</t>
  </si>
  <si>
    <t>CSD 85 (@10bar)</t>
  </si>
  <si>
    <t>CSD 82 (@7,5bar)</t>
  </si>
  <si>
    <t>CSD 82 (@13bar)</t>
  </si>
  <si>
    <t>CSD 82 (@10bar)</t>
  </si>
  <si>
    <t>CSD 125 SFC (9-12bar)</t>
  </si>
  <si>
    <t>CSD 125 SFC (5,5-8,5bar)</t>
  </si>
  <si>
    <t>CSD 125 SFC (12,5-15bar)</t>
  </si>
  <si>
    <t>CSD 125 (max8,5bar)</t>
  </si>
  <si>
    <t>CSD 125 (max15bar)</t>
  </si>
  <si>
    <t>CSD 125 (max10bar)</t>
  </si>
  <si>
    <t>CSD 122 (@8bar)</t>
  </si>
  <si>
    <t>CSD 110 (9-12bar)</t>
  </si>
  <si>
    <t>CSD 110 (5,5-8,5bar)</t>
  </si>
  <si>
    <t>CSD 110 (12,5-15bar)</t>
  </si>
  <si>
    <t>CSD 105 SFC (@7,5bar)</t>
  </si>
  <si>
    <t>CSD 105 SFC (@13bar)</t>
  </si>
  <si>
    <t>CSD 105 SFC (@10bar)</t>
  </si>
  <si>
    <t>CSD 105 (9-12bar)</t>
  </si>
  <si>
    <t>CSD 105 (5,5-8,5bar)</t>
  </si>
  <si>
    <t>CSD 105 (12,5-15bar)</t>
  </si>
  <si>
    <t>CSD 102 SFC (7,5bar)</t>
  </si>
  <si>
    <t>CSD 102 SFC (13bar)</t>
  </si>
  <si>
    <t>CSD 102 SFC (10bar)</t>
  </si>
  <si>
    <t>CSD 102 (7,5bar)</t>
  </si>
  <si>
    <t>CSD 102 (13bar)</t>
  </si>
  <si>
    <t>CSD 102 (10bar)</t>
  </si>
  <si>
    <t>CS 91 (max 7,5bar)</t>
  </si>
  <si>
    <t>CS 91 (max 15bar)</t>
  </si>
  <si>
    <t>CS 76 (@8bar)</t>
  </si>
  <si>
    <t>CS 76 (@10bar)</t>
  </si>
  <si>
    <t>BSD 83 (@7,5bar)</t>
  </si>
  <si>
    <t>BSD 83 (@13bar)</t>
  </si>
  <si>
    <t>BSD 83 (@10bar)</t>
  </si>
  <si>
    <t>BSD 81 (@7,5bar)</t>
  </si>
  <si>
    <t>BSD 81 (@13bar)</t>
  </si>
  <si>
    <t>BSD 81 (@10bar)</t>
  </si>
  <si>
    <t>BSD 75 SFC (max8,5bar)</t>
  </si>
  <si>
    <t>BSD 75 SFC (max15bar)</t>
  </si>
  <si>
    <t>BSD 75 SFC (max10bar)</t>
  </si>
  <si>
    <t>BSD 75 (@7,5bar)</t>
  </si>
  <si>
    <t>BSD 75 (@13bar)</t>
  </si>
  <si>
    <t>BSD 75 (@10bar)</t>
  </si>
  <si>
    <t>BSD 72 SFC (@7,5bar)</t>
  </si>
  <si>
    <t>BSD 72 SFC (@13bar)</t>
  </si>
  <si>
    <t>BSD 72 SFC (@10bar)</t>
  </si>
  <si>
    <t>BSD 72 (8,5-11bar)</t>
  </si>
  <si>
    <t>BSD 72 (5,5-8bar)</t>
  </si>
  <si>
    <t>BSD 72 (11,5-15bar)</t>
  </si>
  <si>
    <t>BSD 65 (@7,5bar)</t>
  </si>
  <si>
    <t>BSD 65 (@13bar)</t>
  </si>
  <si>
    <t>BSD 65 (@10bar)</t>
  </si>
  <si>
    <t>BSD 62 (@7,5bar)</t>
  </si>
  <si>
    <t>BSD 62 (@13bar)</t>
  </si>
  <si>
    <t>BSD 62 (@10bar)</t>
  </si>
  <si>
    <t>ASK 40 T SFC (@7,5bar)</t>
  </si>
  <si>
    <t>ASK 40 T SFC (@13bar)</t>
  </si>
  <si>
    <t>ASK 40 T SFC (@10bar)</t>
  </si>
  <si>
    <t>ASK 40 T (@7,5bar)</t>
  </si>
  <si>
    <t>ASK 40 T (@13bar)</t>
  </si>
  <si>
    <t>ASK 40 T (@10bar)</t>
  </si>
  <si>
    <t>ASK 40 SFC (8,5-11bar)</t>
  </si>
  <si>
    <t>ASK 40 SFC (5,5-8bar)</t>
  </si>
  <si>
    <t>ASK 40 SFC (11,5-15bar)</t>
  </si>
  <si>
    <t>ASK 40 (@7,5bar)</t>
  </si>
  <si>
    <t>ASK 40 (@13bar)</t>
  </si>
  <si>
    <t>ASK 40 (@10bar)</t>
  </si>
  <si>
    <t>ASK 35 (@7,5bar)</t>
  </si>
  <si>
    <t>ASK 35 (@13bar)</t>
  </si>
  <si>
    <t>ASK 35 (@10bar)</t>
  </si>
  <si>
    <t>ASK 34 T SFC (8,5-11bar)</t>
  </si>
  <si>
    <t>ASK 34 T SFC (5,5-8bar)</t>
  </si>
  <si>
    <t>ASK 34 T SFC (11.5-15bar)</t>
  </si>
  <si>
    <t>ASK 34 T (@7,5bar)</t>
  </si>
  <si>
    <t>ASK 34 T (@13bar)</t>
  </si>
  <si>
    <t>Compressore alta pressione - Booster</t>
  </si>
  <si>
    <t>EPC 1000-2-500</t>
  </si>
  <si>
    <t>EPC 1100-G</t>
  </si>
  <si>
    <t>EPC 230-2-250</t>
  </si>
  <si>
    <t>EPC 400-250</t>
  </si>
  <si>
    <t>EPC 420-2-250</t>
  </si>
  <si>
    <t>EPC 550-2-250</t>
  </si>
  <si>
    <t>EPC 550-2-350</t>
  </si>
  <si>
    <t>EPC 630-250</t>
  </si>
  <si>
    <t>EPC 750-2-500</t>
  </si>
  <si>
    <t>EPC 840-250</t>
  </si>
  <si>
    <t>Filtro</t>
  </si>
  <si>
    <t>F1060KA</t>
  </si>
  <si>
    <t>F1060KB</t>
  </si>
  <si>
    <t>F1060KE</t>
  </si>
  <si>
    <t>F1410KA</t>
  </si>
  <si>
    <t>F1410KB</t>
  </si>
  <si>
    <t>F1410KE</t>
  </si>
  <si>
    <t>F1940KA</t>
  </si>
  <si>
    <t>F1940KB</t>
  </si>
  <si>
    <t>F1940KE</t>
  </si>
  <si>
    <t>F350KA</t>
  </si>
  <si>
    <t>F350KB</t>
  </si>
  <si>
    <t>F350KE</t>
  </si>
  <si>
    <t>F530KA</t>
  </si>
  <si>
    <t>F530KB</t>
  </si>
  <si>
    <t>F530KE</t>
  </si>
  <si>
    <t>F700KA</t>
  </si>
  <si>
    <t>F700KB</t>
  </si>
  <si>
    <t>F700KE</t>
  </si>
  <si>
    <t>F880KA</t>
  </si>
  <si>
    <t>F880KB</t>
  </si>
  <si>
    <t>F880KE</t>
  </si>
  <si>
    <t>FB-354</t>
  </si>
  <si>
    <t>FF-354</t>
  </si>
  <si>
    <t>FG-354</t>
  </si>
  <si>
    <t>ASK 34 T (@10bar)</t>
  </si>
  <si>
    <t>ASK 34 SFC (8,5-11bar)</t>
  </si>
  <si>
    <t>ASK 34 SFC (5,5-8 bar)</t>
  </si>
  <si>
    <t>ASK 34 SFC (11,5-15 bar)</t>
  </si>
  <si>
    <t>ASK 34 (@7,5bar)</t>
  </si>
  <si>
    <t>ASK 34 (@13bar)</t>
  </si>
  <si>
    <t>ASK 34 (@10bar)</t>
  </si>
  <si>
    <t>ASK 32 T (@7,5bar)</t>
  </si>
  <si>
    <t>ASK 32 T (@13bar)</t>
  </si>
  <si>
    <t>ASK 32 T (@10bar)</t>
  </si>
  <si>
    <t>ASK 32 SFC (@7,5bar)</t>
  </si>
  <si>
    <t>ASK 32 SFC (@13bar)</t>
  </si>
  <si>
    <t>ASK 32 SFC (@10bar)</t>
  </si>
  <si>
    <t>ASK 32 (@7,5bar)</t>
  </si>
  <si>
    <t>ASK 32 (@13bar)</t>
  </si>
  <si>
    <t>ASK 32 (@10bar)</t>
  </si>
  <si>
    <t>ASK 28 T (@7,5bar)</t>
  </si>
  <si>
    <t>ASK 28 T (@13bar)</t>
  </si>
  <si>
    <t>ASK 28 T (@10bar)</t>
  </si>
  <si>
    <t>ASK 28 (@7,5bar)</t>
  </si>
  <si>
    <t>ASK 28 (@13bar)</t>
  </si>
  <si>
    <t>ASK 28 (@10bar)</t>
  </si>
  <si>
    <t>ASK 27 T (@7,5bar)</t>
  </si>
  <si>
    <t>ASK 27 T (@13bar)</t>
  </si>
  <si>
    <t>ASK 27 T (@10bar)</t>
  </si>
  <si>
    <t>ASK 27 (@7,5bar)</t>
  </si>
  <si>
    <t>ASK 27 (@13bar)</t>
  </si>
  <si>
    <t>ASK 27 (@10bar)</t>
  </si>
  <si>
    <t>ASD 60 T SFC (@7,5bar)</t>
  </si>
  <si>
    <t>ASD 60 T SFC (@13bar)</t>
  </si>
  <si>
    <t>ASD 60 T SFC (@10bar)</t>
  </si>
  <si>
    <t>ASD 60 T (@7,5bar)</t>
  </si>
  <si>
    <t>ASD 60 T (@13bar)</t>
  </si>
  <si>
    <t>ASD 60 T (@10bar)</t>
  </si>
  <si>
    <t>ASD 60 SFC (@7,5bar)</t>
  </si>
  <si>
    <t>ASD 60 SFC (@13bar)</t>
  </si>
  <si>
    <t>ASD 60 SFC (@10bar)</t>
  </si>
  <si>
    <t>ASD 60 (9-12bar)</t>
  </si>
  <si>
    <t>ASD 60 (5,5-8,5bar)</t>
  </si>
  <si>
    <t>ASD 60 (12,5-15bar)</t>
  </si>
  <si>
    <t>ASD 57 (8,5-11bar)</t>
  </si>
  <si>
    <t>ASD 57 (5,5-8bar)</t>
  </si>
  <si>
    <t>ASD 57 (11,5-15bar)</t>
  </si>
  <si>
    <t>ASD 50 T SFC (@7,5bar)</t>
  </si>
  <si>
    <t>ASD 50 T SFC (@13bar)</t>
  </si>
  <si>
    <t>ASD 50 T SFC (@10bar)</t>
  </si>
  <si>
    <t>ASD 50 T (@7,5bar)</t>
  </si>
  <si>
    <t>ASD 50 T (@13bar)</t>
  </si>
  <si>
    <t>ASD 50 T (@10bar)</t>
  </si>
  <si>
    <t>ASD 50 SFC (@7,5bar)</t>
  </si>
  <si>
    <t>ASD 50 SFC (@13bar)</t>
  </si>
  <si>
    <t>ASD 50 SFC (@10bar)</t>
  </si>
  <si>
    <t>ASD 50 (@7,5bar)</t>
  </si>
  <si>
    <t>ASD 50 (@13bar)</t>
  </si>
  <si>
    <t>ASD 50 (@10bar)</t>
  </si>
  <si>
    <t>ASD 47 SFC (@7,5bar)</t>
  </si>
  <si>
    <t>ASD 47 SFC (@13bar)</t>
  </si>
  <si>
    <t>ASD 47 SFC (@10bar)</t>
  </si>
  <si>
    <t>ASD 47 (8,5-11bar)</t>
  </si>
  <si>
    <t>ASD 47 (5,5-8bar)</t>
  </si>
  <si>
    <t>ASD 47 (11,5-15bar)</t>
  </si>
  <si>
    <t>ASD 40 T SFC (@7,5bar)</t>
  </si>
  <si>
    <t>ASD 40 T (@7,5bar)</t>
  </si>
  <si>
    <t>ASD 40 T (@13bar)</t>
  </si>
  <si>
    <t>ASD 40 T (@10bar)</t>
  </si>
  <si>
    <t>ASD 40 SFC (@7,5bar)</t>
  </si>
  <si>
    <t>ASD 40 (@7,5bar)</t>
  </si>
  <si>
    <t>ASD 40 (@13bar)</t>
  </si>
  <si>
    <t>ASD 40 (@10bar)</t>
  </si>
  <si>
    <t>ASD 37 SFC (@7,5bar)</t>
  </si>
  <si>
    <t>ASD 37 SFC (@13bar)</t>
  </si>
  <si>
    <t>ASD 37 SFC (@10bar)</t>
  </si>
  <si>
    <t>ASD 37 (8,5-11bar)</t>
  </si>
  <si>
    <t>ASD 37 (5,5-8bar)</t>
  </si>
  <si>
    <t>ASD 37 (11,5-15bar)</t>
  </si>
  <si>
    <t>ASD 35 T (8,5-11bar)</t>
  </si>
  <si>
    <t>ASD 35 T (@10bar)</t>
  </si>
  <si>
    <t>ASD 35 (@7,5bar)</t>
  </si>
  <si>
    <t>ASD 35 (@10bar)</t>
  </si>
  <si>
    <t>ASD 32 (8,5-11bar)</t>
  </si>
  <si>
    <t>ASD 32 (11,5-15bar)</t>
  </si>
  <si>
    <t>ASD 32 (@7,5bar)</t>
  </si>
  <si>
    <t>AS 36 (8,5-10bar)</t>
  </si>
  <si>
    <t>AS 36 (5,5-8bar)</t>
  </si>
  <si>
    <t>AS 31 (@10bar)</t>
  </si>
  <si>
    <t>AIRCENTER 9 (@7,5bar)</t>
  </si>
  <si>
    <t>AIRCENTER 9 (@13bar)</t>
  </si>
  <si>
    <t>AIRCENTER 9 (@10bar)</t>
  </si>
  <si>
    <t>AIRCENTER 25 SFC (@7,5bar)</t>
  </si>
  <si>
    <t>AIRCENTER 25 SFC (@13bar)</t>
  </si>
  <si>
    <t>AIRCENTER 25 SFC (@10bar)</t>
  </si>
  <si>
    <t>AIRCENTER 25 (@7,5bar)</t>
  </si>
  <si>
    <t>AIRCENTER 25 (@13bar)</t>
  </si>
  <si>
    <t>AIRCENTER 25 (@10bar)</t>
  </si>
  <si>
    <t>AIRCENTER 22 SFC (@7,5bar)</t>
  </si>
  <si>
    <t>AIRCENTER 22 SFC (@13bar)</t>
  </si>
  <si>
    <t>AIRCENTER 22 SFC (@10bar)</t>
  </si>
  <si>
    <t>AIRCENTER 22 (@7,5bar)</t>
  </si>
  <si>
    <t>AIRCENTER 22 (@13bar)</t>
  </si>
  <si>
    <t>AIRCENTER 22 (@10bar)</t>
  </si>
  <si>
    <t>AIRCENTER 16 (@7,5bar)</t>
  </si>
  <si>
    <t>AIRCENTER 16 (@13bar)</t>
  </si>
  <si>
    <t>AIRCENTER 16 (@10bar)</t>
  </si>
  <si>
    <t>AIRCENTER 15 (@7,5bar)</t>
  </si>
  <si>
    <t>AIRCENTER 15 (@13bar)</t>
  </si>
  <si>
    <t>AIRCENTER 15 (@10bar)</t>
  </si>
  <si>
    <t>AIRCENTER 13 SFC (@7,5bar)</t>
  </si>
  <si>
    <t>AIRCENTER 13 SFC (@13bar)</t>
  </si>
  <si>
    <t>AIRCENTER 13 SFC (@10bar)</t>
  </si>
  <si>
    <t>AIRCENTER 13 (@7,5bar)</t>
  </si>
  <si>
    <t>AIRCENTER 13 (@13bar)</t>
  </si>
  <si>
    <t>AIRCENTER 13 (@10bar)</t>
  </si>
  <si>
    <t>AIRCENTER 12 SFC (@7,5bar)</t>
  </si>
  <si>
    <t>AIRCENTER 12 SFC (@13bar)</t>
  </si>
  <si>
    <t>AIRCENTER 12 SFC (@10bar)</t>
  </si>
  <si>
    <t>AIRCENTER 12 (@7,5bar)</t>
  </si>
  <si>
    <t>AIRCENTER 12 (@13bar)</t>
  </si>
  <si>
    <t>AIRCENTER 12 (@10bar)</t>
  </si>
  <si>
    <t>AIRCENTER 10 (@7,5bar)</t>
  </si>
  <si>
    <t>AIRCENTER 10 (@13bar)</t>
  </si>
  <si>
    <t>AIRCENTER 10 (@10bar)</t>
  </si>
  <si>
    <t>AIRBOX CENTER 840</t>
  </si>
  <si>
    <t>TA 11</t>
  </si>
  <si>
    <t>TA 5</t>
  </si>
  <si>
    <t>TA 8</t>
  </si>
  <si>
    <r>
      <rPr>
        <sz val="11"/>
        <color rgb="FF231F20"/>
        <rFont val="Aptos Narrow"/>
        <family val="2"/>
        <scheme val="minor"/>
      </rPr>
      <t>TAH 10</t>
    </r>
  </si>
  <si>
    <r>
      <rPr>
        <sz val="11"/>
        <color rgb="FF231F20"/>
        <rFont val="Aptos Narrow"/>
        <family val="2"/>
        <scheme val="minor"/>
      </rPr>
      <t>TAH 5</t>
    </r>
  </si>
  <si>
    <r>
      <rPr>
        <sz val="11"/>
        <color rgb="FF231F20"/>
        <rFont val="Aptos Narrow"/>
        <family val="2"/>
        <scheme val="minor"/>
      </rPr>
      <t>TAH 7</t>
    </r>
  </si>
  <si>
    <t>TB 19</t>
  </si>
  <si>
    <t>TB 26</t>
  </si>
  <si>
    <r>
      <rPr>
        <sz val="11"/>
        <color rgb="FF231F20"/>
        <rFont val="Aptos Narrow"/>
        <family val="2"/>
        <scheme val="minor"/>
      </rPr>
      <t>TBH 14</t>
    </r>
  </si>
  <si>
    <r>
      <rPr>
        <sz val="11"/>
        <color rgb="FF231F20"/>
        <rFont val="Aptos Narrow"/>
        <family val="2"/>
        <scheme val="minor"/>
      </rPr>
      <t>TBH 16</t>
    </r>
  </si>
  <si>
    <r>
      <rPr>
        <sz val="11"/>
        <color rgb="FF231F20"/>
        <rFont val="Aptos Narrow"/>
        <family val="2"/>
        <scheme val="minor"/>
      </rPr>
      <t>TBH 23</t>
    </r>
  </si>
  <si>
    <t>TC 31</t>
  </si>
  <si>
    <t>TC 36</t>
  </si>
  <si>
    <t>TC 44</t>
  </si>
  <si>
    <r>
      <rPr>
        <sz val="11"/>
        <color rgb="FF231F20"/>
        <rFont val="Aptos Narrow"/>
        <family val="2"/>
        <scheme val="minor"/>
      </rPr>
      <t>TCH 27</t>
    </r>
  </si>
  <si>
    <r>
      <rPr>
        <sz val="11"/>
        <color rgb="FF231F20"/>
        <rFont val="Aptos Narrow"/>
        <family val="2"/>
        <scheme val="minor"/>
      </rPr>
      <t>TCH 33</t>
    </r>
  </si>
  <si>
    <r>
      <rPr>
        <sz val="11"/>
        <color rgb="FF231F20"/>
        <rFont val="Aptos Narrow"/>
        <family val="2"/>
        <scheme val="minor"/>
      </rPr>
      <t>TCH 36</t>
    </r>
  </si>
  <si>
    <r>
      <rPr>
        <sz val="11"/>
        <color rgb="FF231F20"/>
        <rFont val="Aptos Narrow"/>
        <family val="2"/>
        <scheme val="minor"/>
      </rPr>
      <t>TCH 45</t>
    </r>
  </si>
  <si>
    <t>TD 51</t>
  </si>
  <si>
    <t>TD 61</t>
  </si>
  <si>
    <t>TD 76</t>
  </si>
  <si>
    <t>TE 102</t>
  </si>
  <si>
    <t>TE 122</t>
  </si>
  <si>
    <t>TE 142</t>
  </si>
  <si>
    <t>TF 174</t>
  </si>
  <si>
    <t>TF 230</t>
  </si>
  <si>
    <t>TF 280</t>
  </si>
  <si>
    <t>TF 340</t>
  </si>
  <si>
    <t>M.T.A S.P.A.</t>
  </si>
  <si>
    <t>DE012</t>
  </si>
  <si>
    <t>DFE 18</t>
  </si>
  <si>
    <t>NUOVA GENERAL INSTRUMENTS S.R.L.</t>
  </si>
  <si>
    <t>P20 (@11,5bar)</t>
  </si>
  <si>
    <t>PADOVAN VALERIO snc</t>
  </si>
  <si>
    <t>TA11 (@10,45 bar)</t>
  </si>
  <si>
    <t>&gt;6589</t>
  </si>
  <si>
    <t>TA11 (@10,80 bar)</t>
  </si>
  <si>
    <t>TA11 (@11bar)</t>
  </si>
  <si>
    <t>TA11 (@16bar)</t>
  </si>
  <si>
    <t>TA15 (@10bar)</t>
  </si>
  <si>
    <t>TA15 (@10,80bar)</t>
  </si>
  <si>
    <t>TA15 (@11,44bar)</t>
  </si>
  <si>
    <t>TA15 (@11,5bar)</t>
  </si>
  <si>
    <t>TA15 (@11bar)</t>
  </si>
  <si>
    <t>TA15 (@12bar)</t>
  </si>
  <si>
    <t>TA15 (@16bar)</t>
  </si>
  <si>
    <t>TA15 (@8bar)</t>
  </si>
  <si>
    <t>TA15 (@9,40bar)</t>
  </si>
  <si>
    <t>TA15 (@14bar)</t>
  </si>
  <si>
    <t>TA21 (@10bar)</t>
  </si>
  <si>
    <t>TA21 (@10,50bar)</t>
  </si>
  <si>
    <t>TA21 (@10,80bar)</t>
  </si>
  <si>
    <t>TA21 (@11,20bar)</t>
  </si>
  <si>
    <t>TA21 (@11,44bar)</t>
  </si>
  <si>
    <t>TA21 (@11,5bar)</t>
  </si>
  <si>
    <t>TA21 (@11bar)</t>
  </si>
  <si>
    <t>TA21 (@12bar)</t>
  </si>
  <si>
    <t>TA21 (@14bar)</t>
  </si>
  <si>
    <t>TA21 (@15,5bar)</t>
  </si>
  <si>
    <t>TA21 (@9,5bar)</t>
  </si>
  <si>
    <t>TA6 (@11bar)</t>
  </si>
  <si>
    <t>TA7 (@10bar)</t>
  </si>
  <si>
    <t>TA7 (@11bar)</t>
  </si>
  <si>
    <t>TW1 (@12bar)</t>
  </si>
  <si>
    <t>TW1 (@13,50bar)</t>
  </si>
  <si>
    <t>&gt;4854</t>
  </si>
  <si>
    <t>TW1 (@14bar)</t>
  </si>
  <si>
    <t>TW3 (@10,00bar)</t>
  </si>
  <si>
    <t>TW3 (@10,5bar)</t>
  </si>
  <si>
    <t>TW3 (@10,80bar)</t>
  </si>
  <si>
    <t>TW3 (@11,40bar)</t>
  </si>
  <si>
    <t>TW3 (@11,44bar)</t>
  </si>
  <si>
    <t>TW3 (@11,5bar)</t>
  </si>
  <si>
    <t>-10 ÷ +201</t>
  </si>
  <si>
    <t>TW3 (@11bar)</t>
  </si>
  <si>
    <t>TW3 (@12bar)</t>
  </si>
  <si>
    <t>TW3 (@13bar)</t>
  </si>
  <si>
    <t>TW3 (@14bar)</t>
  </si>
  <si>
    <t>TW3 (@14,5bar)</t>
  </si>
  <si>
    <t>TW3 (@15bar)</t>
  </si>
  <si>
    <t>TW3 (@15,5bar)</t>
  </si>
  <si>
    <t>TW3 (@16bar)</t>
  </si>
  <si>
    <t>TW3 (@21bar)</t>
  </si>
  <si>
    <t>TW3 (@45bar)</t>
  </si>
  <si>
    <t>TW1(@11bar)</t>
  </si>
  <si>
    <t>PARISE COMPRESSORI SRL</t>
  </si>
  <si>
    <t>P 100CmX</t>
  </si>
  <si>
    <t>P 300SCt</t>
  </si>
  <si>
    <t>SV 52/105-A</t>
  </si>
  <si>
    <t>P 200 ECt</t>
  </si>
  <si>
    <t>SV 60/110</t>
  </si>
  <si>
    <t>SV 60/120 ST</t>
  </si>
  <si>
    <t>PC 20Z 10 B</t>
  </si>
  <si>
    <t xml:space="preserve">SO-E 43/85 200 T </t>
  </si>
  <si>
    <t xml:space="preserve">SO 43/85 200 T </t>
  </si>
  <si>
    <t>SV 52-105 AP16</t>
  </si>
  <si>
    <t>POWER SYSTEM SRL</t>
  </si>
  <si>
    <t>PS 75 - 8DV</t>
  </si>
  <si>
    <t>PS 75 - 10DV</t>
  </si>
  <si>
    <t>PS 75 - 13DV</t>
  </si>
  <si>
    <t>PSE 037</t>
  </si>
  <si>
    <t>Scambiatore di calore</t>
  </si>
  <si>
    <t>RAAL S.A.</t>
  </si>
  <si>
    <t>RACF 21394-0</t>
  </si>
  <si>
    <t>RACF 21393-0</t>
  </si>
  <si>
    <t>RACF 31000-0</t>
  </si>
  <si>
    <t>RACF 21395-0</t>
  </si>
  <si>
    <t>RACF 44991-0</t>
  </si>
  <si>
    <t>S.E.A. S.p.A.</t>
  </si>
  <si>
    <t>L27011</t>
  </si>
  <si>
    <t>SIAP sas</t>
  </si>
  <si>
    <t>SICC S.p.A.</t>
  </si>
  <si>
    <t>B200 - 12783</t>
  </si>
  <si>
    <t>800 - 3132</t>
  </si>
  <si>
    <t>725 - 7058</t>
  </si>
  <si>
    <t>725 - 12783</t>
  </si>
  <si>
    <t>725 - 10284</t>
  </si>
  <si>
    <t>500-20031</t>
  </si>
  <si>
    <t>500 - 13418</t>
  </si>
  <si>
    <t>500 - 12783</t>
  </si>
  <si>
    <t>500 - 10284</t>
  </si>
  <si>
    <t>270 - 12783</t>
  </si>
  <si>
    <t>900 - 12783</t>
  </si>
  <si>
    <t>2000-10062</t>
  </si>
  <si>
    <t>2000 - 2211R2</t>
  </si>
  <si>
    <t>2000 - 20011R2</t>
  </si>
  <si>
    <t>2000 - 20011R1</t>
  </si>
  <si>
    <t>2001 - 20011R3</t>
  </si>
  <si>
    <t>2000 - 20011</t>
  </si>
  <si>
    <t>2000  - 12784</t>
  </si>
  <si>
    <t>3000 - 20011</t>
  </si>
  <si>
    <t>3000 - 20011R2</t>
  </si>
  <si>
    <t>4000 - 20011R2</t>
  </si>
  <si>
    <t>1500 - 20011</t>
  </si>
  <si>
    <t>1000-20011</t>
  </si>
  <si>
    <t>1000-12784</t>
  </si>
  <si>
    <t>10000 - 20011</t>
  </si>
  <si>
    <t>1000 - 10061</t>
  </si>
  <si>
    <t>1000 - 20031</t>
  </si>
  <si>
    <t>5000 - 20011</t>
  </si>
  <si>
    <t>725 - 3110</t>
  </si>
  <si>
    <t>500 - 20036</t>
  </si>
  <si>
    <t>200 - 3113 D</t>
  </si>
  <si>
    <t>185-6927</t>
  </si>
  <si>
    <t>65-7527</t>
  </si>
  <si>
    <t>55 - 8147</t>
  </si>
  <si>
    <t>30 - 9196</t>
  </si>
  <si>
    <t>30 - 6933</t>
  </si>
  <si>
    <t>115 - 6928</t>
  </si>
  <si>
    <t>30-3113H</t>
  </si>
  <si>
    <t>SICC S.r.L.</t>
  </si>
  <si>
    <t>SICC TECH s.r.l.</t>
  </si>
  <si>
    <t>UNIVERSAL SRL</t>
  </si>
  <si>
    <t>H10N (@42bar)</t>
  </si>
  <si>
    <t>H15N (@10bar</t>
  </si>
  <si>
    <t>S15N (@12bar)</t>
  </si>
  <si>
    <t>S25N (@10,8 bar)</t>
  </si>
  <si>
    <t>S25N (@11,4bar)</t>
  </si>
  <si>
    <t>S25N (@11,5bar)</t>
  </si>
  <si>
    <t>S32N (@10,8bar)</t>
  </si>
  <si>
    <t>S32N (@11,4bar)</t>
  </si>
  <si>
    <t>SN15 (@16bar)</t>
  </si>
  <si>
    <t>WORTHINGTON-CREYSSENSAC</t>
  </si>
  <si>
    <t>Rollair RLS 60 (@8bar)</t>
  </si>
  <si>
    <t>Rollair RLS 1500 AE4 (@8bar)</t>
  </si>
  <si>
    <t>Rollair RLR 3000</t>
  </si>
  <si>
    <t>Rollair RLS 1500 B (@11bar)</t>
  </si>
  <si>
    <t>Rollair RLR 750 B (@10bar)</t>
  </si>
  <si>
    <t>Rollair RLR 1000 B (@10bar)</t>
  </si>
  <si>
    <t>Rollair 1000 A</t>
  </si>
  <si>
    <t>Rollair 1000 B</t>
  </si>
  <si>
    <t>Rollair 1000 C</t>
  </si>
  <si>
    <t>Rollair 1500 A</t>
  </si>
  <si>
    <t>Rollair 1500 B</t>
  </si>
  <si>
    <t>Rollair 1500 C</t>
  </si>
  <si>
    <t>Rollair 2000 A</t>
  </si>
  <si>
    <t>Rollair 2000 B</t>
  </si>
  <si>
    <t>Rollair 2000 C</t>
  </si>
  <si>
    <t>RLR 25 A</t>
  </si>
  <si>
    <t>RLR 25 B</t>
  </si>
  <si>
    <t>RLR 2500 BE7</t>
  </si>
  <si>
    <t>RLR 4000 (@8 bar)</t>
  </si>
  <si>
    <t>ROLLAIR 30 V</t>
  </si>
  <si>
    <t>ZANI s.r.l.</t>
  </si>
  <si>
    <t>FA-720/11A</t>
  </si>
  <si>
    <t>-10 ÷ +150</t>
  </si>
  <si>
    <t>MANNESMANN DEMAG</t>
  </si>
  <si>
    <t>SP-030</t>
  </si>
  <si>
    <t>BOTTARINI SPA</t>
  </si>
  <si>
    <t>BVC 15 (@10bar)</t>
  </si>
  <si>
    <t>E 6400</t>
  </si>
  <si>
    <t>PS 405-10</t>
  </si>
  <si>
    <t>RAc61/AC</t>
  </si>
  <si>
    <t>BVC 40 (@8bar)</t>
  </si>
  <si>
    <t>TW1(@15bar)</t>
  </si>
  <si>
    <t>DE025</t>
  </si>
  <si>
    <t>EURE SHANGHAI MACHINERY EQUIPMENT Co. Ltd.</t>
  </si>
  <si>
    <t>RAc75/AC</t>
  </si>
  <si>
    <t>K-MAX 38-10 VS</t>
  </si>
  <si>
    <t>LE038</t>
  </si>
  <si>
    <t>AIR TEK srl</t>
  </si>
  <si>
    <t>VS38APED (@10,8)</t>
  </si>
  <si>
    <t>CSC srl</t>
  </si>
  <si>
    <t>EF720</t>
  </si>
  <si>
    <t>RD52.A/AC</t>
  </si>
  <si>
    <t>EFEREST GmbH</t>
  </si>
  <si>
    <t>3.6082.0</t>
  </si>
  <si>
    <t>CDX100</t>
  </si>
  <si>
    <t>RACF 32644-0</t>
  </si>
  <si>
    <t>-10 ÷ +70</t>
  </si>
  <si>
    <t>ROLLAIR 2500</t>
  </si>
  <si>
    <t>FONOCOMPACT PRO 27 F3S</t>
  </si>
  <si>
    <t>L100C11</t>
  </si>
  <si>
    <t>COMPAIR</t>
  </si>
  <si>
    <t>L30-10</t>
  </si>
  <si>
    <t>ZEIDLER &amp; UHL</t>
  </si>
  <si>
    <t>45 litri</t>
  </si>
  <si>
    <t>HITEMA</t>
  </si>
  <si>
    <t>GB 9.73</t>
  </si>
  <si>
    <t>CSB 25/8 IVR (max 10 bar)</t>
  </si>
  <si>
    <t>SM 11 (@10,5-13)</t>
  </si>
  <si>
    <t>KTC s.r.l.</t>
  </si>
  <si>
    <t xml:space="preserve">KME C 7/500 PLUS E </t>
  </si>
  <si>
    <t>KDI8/AC</t>
  </si>
  <si>
    <t>serbatoio aria verticale</t>
  </si>
  <si>
    <t>EC270.16</t>
  </si>
  <si>
    <t>CSD 90 SFC (5,5-8,5bar)</t>
  </si>
  <si>
    <t>MARCHE</t>
  </si>
  <si>
    <t>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</si>
</sst>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231F2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/>
  </cellXfs>
  <cellStyles count="2">
    <cellStyle name="Migliaia 2" xfId="1" xr:uid="{06DA677C-71D0-40A7-9A0B-9D53B58D4B5C}"/>
    <cellStyle name="Normale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DE841-26C9-4F3E-80B0-81BACDEA2300}" name="TabModelli" displayName="TabModelli" ref="A1:G1191" totalsRowShown="0" headerRowDxfId="8" dataDxfId="7">
  <autoFilter ref="A1:G1191" xr:uid="{E4EF17CF-1DB3-4205-A7B0-B3DB2CA29BAD}"/>
  <sortState xmlns:xlrd2="http://schemas.microsoft.com/office/spreadsheetml/2017/richdata2" ref="A2:G1191">
    <sortCondition ref="B1:B1191"/>
  </sortState>
  <tableColumns count="7">
    <tableColumn id="1" xr3:uid="{3F2D491F-88B9-4055-BFD8-8779F140A0AB}" name="TIPO" dataDxfId="6"/>
    <tableColumn id="2" xr3:uid="{D92F0EEE-3D93-4015-AEB2-298C4131499E}" name="MARCA" dataDxfId="5"/>
    <tableColumn id="3" xr3:uid="{9B26E893-5A22-4CB3-9704-E4F850F5DE16}" name="MODELLO" dataDxfId="4"/>
    <tableColumn id="4" xr3:uid="{28C10A70-B292-4116-824B-9BC6D91F8176}" name="V(l)/FAD(l/min)" dataDxfId="3"/>
    <tableColumn id="5" xr3:uid="{68B100A6-CA7F-4A4E-9161-49E99AE6229C}" name="PS/Ptar(bar)" dataDxfId="2"/>
    <tableColumn id="7" xr3:uid="{5D7C98F4-1E37-4986-8D1A-66805E28D30B}" name="TS(°C)" dataDxfId="1"/>
    <tableColumn id="8" xr3:uid="{0AA7D70C-BCAB-498B-B8F9-92C0B4E70C6E}" name="CAT_PED" dataDxfId="0">
      <calculatedColumnFormula>IF(OR(ISERROR(SEARCH("recipiente",A2))=FALSE, ISERROR(SEARCH("serbatoio",A2))=FALSE, ISERROR(SEARCH("scambiatore",A2))=FALSE),
    IF(D2*E2&gt;3000,"IV",
        IF(D2*E2&gt;1000,"III",
            IF(D2*E2&gt;200,"II",
                IF(D2*E2&gt;50,"I","")
            )
        )
    ),
    IF(ISERROR(SEARCH("valvola di sicurezza",A2))=FALSE,"IV","")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4B33-7978-40B1-810F-D32B5A0E6178}">
  <sheetPr codeName="Foglio13"/>
  <dimension ref="A1:I1191"/>
  <sheetViews>
    <sheetView workbookViewId="0">
      <pane ySplit="1" topLeftCell="A2" activePane="bottomLeft" state="frozen"/>
      <selection pane="bottomLeft" activeCell="A24" sqref="A24"/>
    </sheetView>
  </sheetViews>
  <sheetFormatPr defaultRowHeight="14.4" x14ac:dyDescent="0.3"/>
  <cols>
    <col min="1" max="1" width="35.5546875" bestFit="1" customWidth="1"/>
    <col min="2" max="2" width="49.6640625" bestFit="1" customWidth="1"/>
    <col min="3" max="3" width="33" bestFit="1" customWidth="1"/>
    <col min="4" max="4" width="15.109375" customWidth="1"/>
    <col min="5" max="5" width="14" customWidth="1"/>
    <col min="6" max="6" width="9.5546875" bestFit="1" customWidth="1"/>
    <col min="7" max="7" width="11" customWidth="1"/>
  </cols>
  <sheetData>
    <row r="1" spans="1:7" s="1" customFormat="1" ht="4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2" t="s">
        <v>9</v>
      </c>
      <c r="D2" s="1">
        <v>215</v>
      </c>
      <c r="E2" s="1">
        <v>11.5</v>
      </c>
      <c r="F2" s="3" t="s">
        <v>10</v>
      </c>
      <c r="G2" s="1" t="str">
        <f>IF(OR(ISERROR(SEARCH("recipiente",A2))=FALSE, ISERROR(SEARCH("serbatoio",A2))=FALSE, ISERROR(SEARCH("scambiatore",A2))=FALSE),
    IF(D2*E2&gt;3000,"IV",
        IF(D2*E2&gt;1000,"III",
            IF(D2*E2&gt;200,"II",
                IF(D2*E2&gt;50,"I","")
            )
        )
    ),
    IF(ISERROR(SEARCH("valvola di sicurezza",A2))=FALSE,"IV","")
)</f>
        <v>III</v>
      </c>
    </row>
    <row r="3" spans="1:7" x14ac:dyDescent="0.3">
      <c r="A3" t="s">
        <v>7</v>
      </c>
      <c r="B3" t="s">
        <v>8</v>
      </c>
      <c r="C3" s="2" t="s">
        <v>11</v>
      </c>
      <c r="D3" s="1">
        <v>350</v>
      </c>
      <c r="E3" s="1">
        <v>11.5</v>
      </c>
      <c r="F3" s="3" t="s">
        <v>12</v>
      </c>
      <c r="G3" s="1" t="str">
        <f>IF(OR(ISERROR(SEARCH("recipiente",A3))=FALSE, ISERROR(SEARCH("serbatoio",A3))=FALSE, ISERROR(SEARCH("scambiatore",A3))=FALSE),
    IF(D3*E3&gt;3000,"IV",
        IF(D3*E3&gt;1000,"III",
            IF(D3*E3&gt;200,"II",
                IF(D3*E3&gt;50,"I","")
            )
        )
    ),
    IF(ISERROR(SEARCH("valvola di sicurezza",A3))=FALSE,"IV","")
)</f>
        <v>IV</v>
      </c>
    </row>
    <row r="4" spans="1:7" x14ac:dyDescent="0.3">
      <c r="A4" t="s">
        <v>7</v>
      </c>
      <c r="B4" t="s">
        <v>8</v>
      </c>
      <c r="C4" s="2" t="s">
        <v>13</v>
      </c>
      <c r="D4" s="1">
        <v>500</v>
      </c>
      <c r="E4" s="1">
        <v>11</v>
      </c>
      <c r="F4" s="3" t="s">
        <v>10</v>
      </c>
      <c r="G4" s="1" t="str">
        <f>IF(OR(ISERROR(SEARCH("recipiente",A4))=FALSE, ISERROR(SEARCH("serbatoio",A4))=FALSE, ISERROR(SEARCH("scambiatore",A4))=FALSE),
    IF(D4*E4&gt;3000,"IV",
        IF(D4*E4&gt;1000,"III",
            IF(D4*E4&gt;200,"II",
                IF(D4*E4&gt;50,"I","")
            )
        )
    ),
    IF(ISERROR(SEARCH("valvola di sicurezza",A4))=FALSE,"IV","")
)</f>
        <v>IV</v>
      </c>
    </row>
    <row r="5" spans="1:7" x14ac:dyDescent="0.3">
      <c r="A5" t="s">
        <v>7</v>
      </c>
      <c r="B5" t="s">
        <v>8</v>
      </c>
      <c r="C5" s="2" t="s">
        <v>14</v>
      </c>
      <c r="D5" s="1">
        <v>720</v>
      </c>
      <c r="E5" s="1">
        <v>11</v>
      </c>
      <c r="F5" s="3" t="s">
        <v>10</v>
      </c>
      <c r="G5" s="1" t="str">
        <f>IF(OR(ISERROR(SEARCH("recipiente",A5))=FALSE, ISERROR(SEARCH("serbatoio",A5))=FALSE, ISERROR(SEARCH("scambiatore",A5))=FALSE),
    IF(D5*E5&gt;3000,"IV",
        IF(D5*E5&gt;1000,"III",
            IF(D5*E5&gt;200,"II",
                IF(D5*E5&gt;50,"I","")
            )
        )
    ),
    IF(ISERROR(SEARCH("valvola di sicurezza",A5))=FALSE,"IV","")
)</f>
        <v>IV</v>
      </c>
    </row>
    <row r="6" spans="1:7" x14ac:dyDescent="0.3">
      <c r="A6" t="s">
        <v>7</v>
      </c>
      <c r="B6" t="s">
        <v>8</v>
      </c>
      <c r="C6" s="2" t="s">
        <v>15</v>
      </c>
      <c r="D6" s="1">
        <v>500</v>
      </c>
      <c r="E6" s="1">
        <v>11</v>
      </c>
      <c r="F6" s="3" t="s">
        <v>10</v>
      </c>
      <c r="G6" s="1" t="str">
        <f>IF(OR(ISERROR(SEARCH("recipiente",A6))=FALSE, ISERROR(SEARCH("serbatoio",A6))=FALSE, ISERROR(SEARCH("scambiatore",A6))=FALSE),
    IF(D6*E6&gt;3000,"IV",
        IF(D6*E6&gt;1000,"III",
            IF(D6*E6&gt;200,"II",
                IF(D6*E6&gt;50,"I","")
            )
        )
    ),
    IF(ISERROR(SEARCH("valvola di sicurezza",A6))=FALSE,"IV","")
)</f>
        <v>IV</v>
      </c>
    </row>
    <row r="7" spans="1:7" x14ac:dyDescent="0.3">
      <c r="A7" t="s">
        <v>7</v>
      </c>
      <c r="B7" t="s">
        <v>8</v>
      </c>
      <c r="C7" s="2" t="s">
        <v>16</v>
      </c>
      <c r="D7" s="1">
        <v>500</v>
      </c>
      <c r="E7" s="1">
        <v>11</v>
      </c>
      <c r="F7" s="3" t="s">
        <v>10</v>
      </c>
      <c r="G7" s="1" t="str">
        <f>IF(OR(ISERROR(SEARCH("recipiente",A7))=FALSE, ISERROR(SEARCH("serbatoio",A7))=FALSE, ISERROR(SEARCH("scambiatore",A7))=FALSE),
    IF(D7*E7&gt;3000,"IV",
        IF(D7*E7&gt;1000,"III",
            IF(D7*E7&gt;200,"II",
                IF(D7*E7&gt;50,"I","")
            )
        )
    ),
    IF(ISERROR(SEARCH("valvola di sicurezza",A7))=FALSE,"IV","")
)</f>
        <v>IV</v>
      </c>
    </row>
    <row r="8" spans="1:7" x14ac:dyDescent="0.3">
      <c r="A8" t="s">
        <v>7</v>
      </c>
      <c r="B8" t="s">
        <v>8</v>
      </c>
      <c r="C8" s="2" t="s">
        <v>17</v>
      </c>
      <c r="D8" s="1">
        <v>10000</v>
      </c>
      <c r="E8" s="1">
        <v>16</v>
      </c>
      <c r="F8" s="3" t="s">
        <v>18</v>
      </c>
      <c r="G8" s="1" t="str">
        <f>IF(OR(ISERROR(SEARCH("recipiente",A8))=FALSE, ISERROR(SEARCH("serbatoio",A8))=FALSE, ISERROR(SEARCH("scambiatore",A8))=FALSE),
    IF(D8*E8&gt;3000,"IV",
        IF(D8*E8&gt;1000,"III",
            IF(D8*E8&gt;200,"II",
                IF(D8*E8&gt;50,"I","")
            )
        )
    ),
    IF(ISERROR(SEARCH("valvola di sicurezza",A8))=FALSE,"IV","")
)</f>
        <v>IV</v>
      </c>
    </row>
    <row r="9" spans="1:7" x14ac:dyDescent="0.3">
      <c r="A9" t="s">
        <v>7</v>
      </c>
      <c r="B9" t="s">
        <v>8</v>
      </c>
      <c r="C9" s="2" t="s">
        <v>19</v>
      </c>
      <c r="D9" s="1">
        <v>90</v>
      </c>
      <c r="E9" s="1">
        <v>11</v>
      </c>
      <c r="F9" s="3" t="s">
        <v>20</v>
      </c>
      <c r="G9" s="1" t="str">
        <f>IF(OR(ISERROR(SEARCH("recipiente",A9))=FALSE, ISERROR(SEARCH("serbatoio",A9))=FALSE, ISERROR(SEARCH("scambiatore",A9))=FALSE),
    IF(D9*E9&gt;3000,"IV",
        IF(D9*E9&gt;1000,"III",
            IF(D9*E9&gt;200,"II",
                IF(D9*E9&gt;50,"I","")
            )
        )
    ),
    IF(ISERROR(SEARCH("valvola di sicurezza",A9))=FALSE,"IV","")
)</f>
        <v>II</v>
      </c>
    </row>
    <row r="10" spans="1:7" x14ac:dyDescent="0.3">
      <c r="A10" t="s">
        <v>7</v>
      </c>
      <c r="B10" t="s">
        <v>8</v>
      </c>
      <c r="C10" s="2" t="s">
        <v>21</v>
      </c>
      <c r="D10" s="1">
        <v>100</v>
      </c>
      <c r="E10" s="1">
        <v>11</v>
      </c>
      <c r="F10" s="3" t="s">
        <v>20</v>
      </c>
      <c r="G10" s="1" t="str">
        <f>IF(OR(ISERROR(SEARCH("recipiente",A10))=FALSE, ISERROR(SEARCH("serbatoio",A10))=FALSE, ISERROR(SEARCH("scambiatore",A10))=FALSE),
    IF(D10*E10&gt;3000,"IV",
        IF(D10*E10&gt;1000,"III",
            IF(D10*E10&gt;200,"II",
                IF(D10*E10&gt;50,"I","")
            )
        )
    ),
    IF(ISERROR(SEARCH("valvola di sicurezza",A10))=FALSE,"IV","")
)</f>
        <v>III</v>
      </c>
    </row>
    <row r="11" spans="1:7" x14ac:dyDescent="0.3">
      <c r="A11" t="s">
        <v>7</v>
      </c>
      <c r="B11" t="s">
        <v>8</v>
      </c>
      <c r="C11" s="2" t="s">
        <v>22</v>
      </c>
      <c r="D11" s="1">
        <v>100</v>
      </c>
      <c r="E11" s="1">
        <v>11</v>
      </c>
      <c r="F11" s="3" t="s">
        <v>20</v>
      </c>
      <c r="G11" s="1" t="str">
        <f>IF(OR(ISERROR(SEARCH("recipiente",A11))=FALSE, ISERROR(SEARCH("serbatoio",A11))=FALSE, ISERROR(SEARCH("scambiatore",A11))=FALSE),
    IF(D11*E11&gt;3000,"IV",
        IF(D11*E11&gt;1000,"III",
            IF(D11*E11&gt;200,"II",
                IF(D11*E11&gt;50,"I","")
            )
        )
    ),
    IF(ISERROR(SEARCH("valvola di sicurezza",A11))=FALSE,"IV","")
)</f>
        <v>III</v>
      </c>
    </row>
    <row r="12" spans="1:7" x14ac:dyDescent="0.3">
      <c r="A12" t="s">
        <v>7</v>
      </c>
      <c r="B12" t="s">
        <v>8</v>
      </c>
      <c r="C12" s="2" t="s">
        <v>23</v>
      </c>
      <c r="D12" s="1">
        <v>720</v>
      </c>
      <c r="E12" s="1">
        <v>11</v>
      </c>
      <c r="F12" s="3" t="s">
        <v>10</v>
      </c>
      <c r="G12" s="1" t="str">
        <f>IF(OR(ISERROR(SEARCH("recipiente",A12))=FALSE, ISERROR(SEARCH("serbatoio",A12))=FALSE, ISERROR(SEARCH("scambiatore",A12))=FALSE),
    IF(D12*E12&gt;3000,"IV",
        IF(D12*E12&gt;1000,"III",
            IF(D12*E12&gt;200,"II",
                IF(D12*E12&gt;50,"I","")
            )
        )
    ),
    IF(ISERROR(SEARCH("valvola di sicurezza",A12))=FALSE,"IV","")
)</f>
        <v>IV</v>
      </c>
    </row>
    <row r="13" spans="1:7" x14ac:dyDescent="0.3">
      <c r="A13" t="s">
        <v>7</v>
      </c>
      <c r="B13" t="s">
        <v>8</v>
      </c>
      <c r="C13" s="2" t="s">
        <v>24</v>
      </c>
      <c r="D13" s="1">
        <v>200</v>
      </c>
      <c r="E13" s="1">
        <v>11</v>
      </c>
      <c r="F13" s="3" t="s">
        <v>10</v>
      </c>
      <c r="G13" s="1" t="str">
        <f>IF(OR(ISERROR(SEARCH("recipiente",A13))=FALSE, ISERROR(SEARCH("serbatoio",A13))=FALSE, ISERROR(SEARCH("scambiatore",A13))=FALSE),
    IF(D13*E13&gt;3000,"IV",
        IF(D13*E13&gt;1000,"III",
            IF(D13*E13&gt;200,"II",
                IF(D13*E13&gt;50,"I","")
            )
        )
    ),
    IF(ISERROR(SEARCH("valvola di sicurezza",A13))=FALSE,"IV","")
)</f>
        <v>III</v>
      </c>
    </row>
    <row r="14" spans="1:7" x14ac:dyDescent="0.3">
      <c r="A14" t="s">
        <v>7</v>
      </c>
      <c r="B14" t="s">
        <v>8</v>
      </c>
      <c r="C14" s="2" t="s">
        <v>25</v>
      </c>
      <c r="D14" s="1">
        <v>200</v>
      </c>
      <c r="E14" s="1">
        <v>11</v>
      </c>
      <c r="F14" s="3" t="s">
        <v>10</v>
      </c>
      <c r="G14" s="1" t="str">
        <f>IF(OR(ISERROR(SEARCH("recipiente",A14))=FALSE, ISERROR(SEARCH("serbatoio",A14))=FALSE, ISERROR(SEARCH("scambiatore",A14))=FALSE),
    IF(D14*E14&gt;3000,"IV",
        IF(D14*E14&gt;1000,"III",
            IF(D14*E14&gt;200,"II",
                IF(D14*E14&gt;50,"I","")
            )
        )
    ),
    IF(ISERROR(SEARCH("valvola di sicurezza",A14))=FALSE,"IV","")
)</f>
        <v>III</v>
      </c>
    </row>
    <row r="15" spans="1:7" x14ac:dyDescent="0.3">
      <c r="A15" t="s">
        <v>7</v>
      </c>
      <c r="B15" t="s">
        <v>8</v>
      </c>
      <c r="C15" s="2" t="s">
        <v>26</v>
      </c>
      <c r="D15" s="1">
        <v>200</v>
      </c>
      <c r="E15" s="1">
        <v>11</v>
      </c>
      <c r="F15" s="3" t="s">
        <v>10</v>
      </c>
      <c r="G15" s="1" t="str">
        <f>IF(OR(ISERROR(SEARCH("recipiente",A15))=FALSE, ISERROR(SEARCH("serbatoio",A15))=FALSE, ISERROR(SEARCH("scambiatore",A15))=FALSE),
    IF(D15*E15&gt;3000,"IV",
        IF(D15*E15&gt;1000,"III",
            IF(D15*E15&gt;200,"II",
                IF(D15*E15&gt;50,"I","")
            )
        )
    ),
    IF(ISERROR(SEARCH("valvola di sicurezza",A15))=FALSE,"IV","")
)</f>
        <v>III</v>
      </c>
    </row>
    <row r="16" spans="1:7" x14ac:dyDescent="0.3">
      <c r="A16" t="s">
        <v>7</v>
      </c>
      <c r="B16" t="s">
        <v>8</v>
      </c>
      <c r="C16" s="2" t="s">
        <v>27</v>
      </c>
      <c r="D16" s="1">
        <v>270</v>
      </c>
      <c r="E16" s="1">
        <v>11</v>
      </c>
      <c r="F16" s="3" t="s">
        <v>20</v>
      </c>
      <c r="G16" s="1" t="str">
        <f>IF(OR(ISERROR(SEARCH("recipiente",A16))=FALSE, ISERROR(SEARCH("serbatoio",A16))=FALSE, ISERROR(SEARCH("scambiatore",A16))=FALSE),
    IF(D16*E16&gt;3000,"IV",
        IF(D16*E16&gt;1000,"III",
            IF(D16*E16&gt;200,"II",
                IF(D16*E16&gt;50,"I","")
            )
        )
    ),
    IF(ISERROR(SEARCH("valvola di sicurezza",A16))=FALSE,"IV","")
)</f>
        <v>III</v>
      </c>
    </row>
    <row r="17" spans="1:7" x14ac:dyDescent="0.3">
      <c r="A17" t="s">
        <v>7</v>
      </c>
      <c r="B17" t="s">
        <v>8</v>
      </c>
      <c r="C17" s="2" t="s">
        <v>28</v>
      </c>
      <c r="D17" s="1">
        <v>270</v>
      </c>
      <c r="E17" s="1">
        <v>11</v>
      </c>
      <c r="F17" s="3" t="s">
        <v>10</v>
      </c>
      <c r="G17" s="1" t="str">
        <f>IF(OR(ISERROR(SEARCH("recipiente",A17))=FALSE, ISERROR(SEARCH("serbatoio",A17))=FALSE, ISERROR(SEARCH("scambiatore",A17))=FALSE),
    IF(D17*E17&gt;3000,"IV",
        IF(D17*E17&gt;1000,"III",
            IF(D17*E17&gt;200,"II",
                IF(D17*E17&gt;50,"I","")
            )
        )
    ),
    IF(ISERROR(SEARCH("valvola di sicurezza",A17))=FALSE,"IV","")
)</f>
        <v>III</v>
      </c>
    </row>
    <row r="18" spans="1:7" x14ac:dyDescent="0.3">
      <c r="A18" t="s">
        <v>7</v>
      </c>
      <c r="B18" t="s">
        <v>8</v>
      </c>
      <c r="C18" s="2" t="s">
        <v>29</v>
      </c>
      <c r="D18" s="1">
        <v>720</v>
      </c>
      <c r="E18" s="1">
        <v>11</v>
      </c>
      <c r="F18" s="3" t="s">
        <v>10</v>
      </c>
      <c r="G18" s="1" t="str">
        <f>IF(OR(ISERROR(SEARCH("recipiente",A18))=FALSE, ISERROR(SEARCH("serbatoio",A18))=FALSE, ISERROR(SEARCH("scambiatore",A18))=FALSE),
    IF(D18*E18&gt;3000,"IV",
        IF(D18*E18&gt;1000,"III",
            IF(D18*E18&gt;200,"II",
                IF(D18*E18&gt;50,"I","")
            )
        )
    ),
    IF(ISERROR(SEARCH("valvola di sicurezza",A18))=FALSE,"IV","")
)</f>
        <v>IV</v>
      </c>
    </row>
    <row r="19" spans="1:7" x14ac:dyDescent="0.3">
      <c r="A19" t="s">
        <v>7</v>
      </c>
      <c r="B19" t="s">
        <v>8</v>
      </c>
      <c r="C19" s="2" t="s">
        <v>30</v>
      </c>
      <c r="D19" s="1">
        <v>2000</v>
      </c>
      <c r="E19" s="1">
        <v>12</v>
      </c>
      <c r="F19" s="3" t="s">
        <v>31</v>
      </c>
      <c r="G19" s="1" t="str">
        <f>IF(OR(ISERROR(SEARCH("recipiente",A19))=FALSE, ISERROR(SEARCH("serbatoio",A19))=FALSE, ISERROR(SEARCH("scambiatore",A19))=FALSE),
    IF(D19*E19&gt;3000,"IV",
        IF(D19*E19&gt;1000,"III",
            IF(D19*E19&gt;200,"II",
                IF(D19*E19&gt;50,"I","")
            )
        )
    ),
    IF(ISERROR(SEARCH("valvola di sicurezza",A19))=FALSE,"IV","")
)</f>
        <v>IV</v>
      </c>
    </row>
    <row r="20" spans="1:7" x14ac:dyDescent="0.3">
      <c r="A20" t="s">
        <v>7</v>
      </c>
      <c r="B20" t="s">
        <v>8</v>
      </c>
      <c r="C20" s="2" t="s">
        <v>32</v>
      </c>
      <c r="D20" s="1">
        <v>215</v>
      </c>
      <c r="E20" s="1">
        <v>11.5</v>
      </c>
      <c r="F20" s="3" t="s">
        <v>10</v>
      </c>
      <c r="G20" s="1" t="str">
        <f>IF(OR(ISERROR(SEARCH("recipiente",A20))=FALSE, ISERROR(SEARCH("serbatoio",A20))=FALSE, ISERROR(SEARCH("scambiatore",A20))=FALSE),
    IF(D20*E20&gt;3000,"IV",
        IF(D20*E20&gt;1000,"III",
            IF(D20*E20&gt;200,"II",
                IF(D20*E20&gt;50,"I","")
            )
        )
    ),
    IF(ISERROR(SEARCH("valvola di sicurezza",A20))=FALSE,"IV","")
)</f>
        <v>III</v>
      </c>
    </row>
    <row r="21" spans="1:7" x14ac:dyDescent="0.3">
      <c r="A21" t="s">
        <v>33</v>
      </c>
      <c r="B21" t="s">
        <v>8</v>
      </c>
      <c r="C21" s="2">
        <v>3034</v>
      </c>
      <c r="D21" s="1">
        <v>34</v>
      </c>
      <c r="E21" s="1">
        <v>16</v>
      </c>
      <c r="F21" s="3" t="s">
        <v>34</v>
      </c>
      <c r="G21" s="1" t="str">
        <f>IF(OR(ISERROR(SEARCH("recipiente",A21))=FALSE, ISERROR(SEARCH("serbatoio",A21))=FALSE, ISERROR(SEARCH("scambiatore",A21))=FALSE),
    IF(D21*E21&gt;3000,"IV",
        IF(D21*E21&gt;1000,"III",
            IF(D21*E21&gt;200,"II",
                IF(D21*E21&gt;50,"I","")
            )
        )
    ),
    IF(ISERROR(SEARCH("valvola di sicurezza",A21))=FALSE,"IV","")
)</f>
        <v>II</v>
      </c>
    </row>
    <row r="22" spans="1:7" x14ac:dyDescent="0.3">
      <c r="A22" t="s">
        <v>33</v>
      </c>
      <c r="B22" t="s">
        <v>8</v>
      </c>
      <c r="C22" s="2">
        <v>3070</v>
      </c>
      <c r="D22" s="1">
        <v>75</v>
      </c>
      <c r="E22" s="1">
        <v>16</v>
      </c>
      <c r="F22" s="3" t="s">
        <v>34</v>
      </c>
      <c r="G22" s="1" t="str">
        <f>IF(OR(ISERROR(SEARCH("recipiente",A22))=FALSE, ISERROR(SEARCH("serbatoio",A22))=FALSE, ISERROR(SEARCH("scambiatore",A22))=FALSE),
    IF(D22*E22&gt;3000,"IV",
        IF(D22*E22&gt;1000,"III",
            IF(D22*E22&gt;200,"II",
                IF(D22*E22&gt;50,"I","")
            )
        )
    ),
    IF(ISERROR(SEARCH("valvola di sicurezza",A22))=FALSE,"IV","")
)</f>
        <v>III</v>
      </c>
    </row>
    <row r="23" spans="1:7" x14ac:dyDescent="0.3">
      <c r="A23" t="s">
        <v>33</v>
      </c>
      <c r="B23" t="s">
        <v>8</v>
      </c>
      <c r="C23" s="2">
        <v>3134</v>
      </c>
      <c r="D23" s="1">
        <v>130</v>
      </c>
      <c r="E23" s="1">
        <v>16</v>
      </c>
      <c r="F23" s="3" t="s">
        <v>10</v>
      </c>
      <c r="G23" s="1" t="str">
        <f>IF(OR(ISERROR(SEARCH("recipiente",A23))=FALSE, ISERROR(SEARCH("serbatoio",A23))=FALSE, ISERROR(SEARCH("scambiatore",A23))=FALSE),
    IF(D23*E23&gt;3000,"IV",
        IF(D23*E23&gt;1000,"III",
            IF(D23*E23&gt;200,"II",
                IF(D23*E23&gt;50,"I","")
            )
        )
    ),
    IF(ISERROR(SEARCH("valvola di sicurezza",A23))=FALSE,"IV","")
)</f>
        <v>III</v>
      </c>
    </row>
    <row r="24" spans="1:7" x14ac:dyDescent="0.3">
      <c r="A24" t="s">
        <v>33</v>
      </c>
      <c r="B24" t="s">
        <v>8</v>
      </c>
      <c r="C24" s="2">
        <v>3137</v>
      </c>
      <c r="D24" s="1">
        <v>135</v>
      </c>
      <c r="E24" s="1">
        <v>16</v>
      </c>
      <c r="F24" s="3" t="s">
        <v>10</v>
      </c>
      <c r="G24" s="1" t="str">
        <f>IF(OR(ISERROR(SEARCH("recipiente",A24))=FALSE, ISERROR(SEARCH("serbatoio",A24))=FALSE, ISERROR(SEARCH("scambiatore",A24))=FALSE),
    IF(D24*E24&gt;3000,"IV",
        IF(D24*E24&gt;1000,"III",
            IF(D24*E24&gt;200,"II",
                IF(D24*E24&gt;50,"I","")
            )
        )
    ),
    IF(ISERROR(SEARCH("valvola di sicurezza",A24))=FALSE,"IV","")
)</f>
        <v>III</v>
      </c>
    </row>
    <row r="25" spans="1:7" x14ac:dyDescent="0.3">
      <c r="A25" t="s">
        <v>33</v>
      </c>
      <c r="B25" t="s">
        <v>8</v>
      </c>
      <c r="C25" s="2" t="s">
        <v>35</v>
      </c>
      <c r="D25" s="1">
        <v>115</v>
      </c>
      <c r="E25" s="1">
        <v>16</v>
      </c>
      <c r="F25" s="3" t="s">
        <v>10</v>
      </c>
      <c r="G25" s="1" t="str">
        <f>IF(OR(ISERROR(SEARCH("recipiente",A25))=FALSE, ISERROR(SEARCH("serbatoio",A25))=FALSE, ISERROR(SEARCH("scambiatore",A25))=FALSE),
    IF(D25*E25&gt;3000,"IV",
        IF(D25*E25&gt;1000,"III",
            IF(D25*E25&gt;200,"II",
                IF(D25*E25&gt;50,"I","")
            )
        )
    ),
    IF(ISERROR(SEARCH("valvola di sicurezza",A25))=FALSE,"IV","")
)</f>
        <v>III</v>
      </c>
    </row>
    <row r="26" spans="1:7" x14ac:dyDescent="0.3">
      <c r="A26" t="s">
        <v>33</v>
      </c>
      <c r="B26" t="s">
        <v>8</v>
      </c>
      <c r="C26" s="2" t="s">
        <v>36</v>
      </c>
      <c r="D26" s="1">
        <v>135</v>
      </c>
      <c r="E26" s="1">
        <v>16</v>
      </c>
      <c r="F26" s="3" t="s">
        <v>10</v>
      </c>
      <c r="G26" s="1" t="str">
        <f>IF(OR(ISERROR(SEARCH("recipiente",A26))=FALSE, ISERROR(SEARCH("serbatoio",A26))=FALSE, ISERROR(SEARCH("scambiatore",A26))=FALSE),
    IF(D26*E26&gt;3000,"IV",
        IF(D26*E26&gt;1000,"III",
            IF(D26*E26&gt;200,"II",
                IF(D26*E26&gt;50,"I","")
            )
        )
    ),
    IF(ISERROR(SEARCH("valvola di sicurezza",A26))=FALSE,"IV","")
)</f>
        <v>III</v>
      </c>
    </row>
    <row r="27" spans="1:7" x14ac:dyDescent="0.3">
      <c r="A27" t="s">
        <v>33</v>
      </c>
      <c r="B27" t="s">
        <v>8</v>
      </c>
      <c r="C27" s="2" t="s">
        <v>37</v>
      </c>
      <c r="D27" s="1">
        <v>75</v>
      </c>
      <c r="E27" s="1">
        <v>16</v>
      </c>
      <c r="F27" s="3" t="s">
        <v>10</v>
      </c>
      <c r="G27" s="1" t="str">
        <f>IF(OR(ISERROR(SEARCH("recipiente",A27))=FALSE, ISERROR(SEARCH("serbatoio",A27))=FALSE, ISERROR(SEARCH("scambiatore",A27))=FALSE),
    IF(D27*E27&gt;3000,"IV",
        IF(D27*E27&gt;1000,"III",
            IF(D27*E27&gt;200,"II",
                IF(D27*E27&gt;50,"I","")
            )
        )
    ),
    IF(ISERROR(SEARCH("valvola di sicurezza",A27))=FALSE,"IV","")
)</f>
        <v>III</v>
      </c>
    </row>
    <row r="28" spans="1:7" x14ac:dyDescent="0.3">
      <c r="A28" t="s">
        <v>33</v>
      </c>
      <c r="B28" t="s">
        <v>8</v>
      </c>
      <c r="C28" s="2" t="s">
        <v>38</v>
      </c>
      <c r="D28" s="1">
        <v>125</v>
      </c>
      <c r="E28" s="1">
        <v>16</v>
      </c>
      <c r="F28" s="3" t="s">
        <v>10</v>
      </c>
      <c r="G28" s="1" t="str">
        <f>IF(OR(ISERROR(SEARCH("recipiente",A28))=FALSE, ISERROR(SEARCH("serbatoio",A28))=FALSE, ISERROR(SEARCH("scambiatore",A28))=FALSE),
    IF(D28*E28&gt;3000,"IV",
        IF(D28*E28&gt;1000,"III",
            IF(D28*E28&gt;200,"II",
                IF(D28*E28&gt;50,"I","")
            )
        )
    ),
    IF(ISERROR(SEARCH("valvola di sicurezza",A28))=FALSE,"IV","")
)</f>
        <v>III</v>
      </c>
    </row>
    <row r="29" spans="1:7" x14ac:dyDescent="0.3">
      <c r="A29" t="s">
        <v>33</v>
      </c>
      <c r="B29" t="s">
        <v>8</v>
      </c>
      <c r="C29" s="2" t="s">
        <v>39</v>
      </c>
      <c r="D29" s="1">
        <v>30</v>
      </c>
      <c r="E29" s="1">
        <v>16</v>
      </c>
      <c r="F29" s="3" t="s">
        <v>10</v>
      </c>
      <c r="G29" s="1" t="str">
        <f>IF(OR(ISERROR(SEARCH("recipiente",A29))=FALSE, ISERROR(SEARCH("serbatoio",A29))=FALSE, ISERROR(SEARCH("scambiatore",A29))=FALSE),
    IF(D29*E29&gt;3000,"IV",
        IF(D29*E29&gt;1000,"III",
            IF(D29*E29&gt;200,"II",
                IF(D29*E29&gt;50,"I","")
            )
        )
    ),
    IF(ISERROR(SEARCH("valvola di sicurezza",A29))=FALSE,"IV","")
)</f>
        <v>II</v>
      </c>
    </row>
    <row r="30" spans="1:7" x14ac:dyDescent="0.3">
      <c r="A30" t="s">
        <v>33</v>
      </c>
      <c r="B30" t="s">
        <v>8</v>
      </c>
      <c r="C30" s="2" t="s">
        <v>40</v>
      </c>
      <c r="D30" s="1">
        <v>65</v>
      </c>
      <c r="E30" s="1">
        <v>16</v>
      </c>
      <c r="F30" s="3" t="s">
        <v>10</v>
      </c>
      <c r="G30" s="1" t="str">
        <f>IF(OR(ISERROR(SEARCH("recipiente",A30))=FALSE, ISERROR(SEARCH("serbatoio",A30))=FALSE, ISERROR(SEARCH("scambiatore",A30))=FALSE),
    IF(D30*E30&gt;3000,"IV",
        IF(D30*E30&gt;1000,"III",
            IF(D30*E30&gt;200,"II",
                IF(D30*E30&gt;50,"I","")
            )
        )
    ),
    IF(ISERROR(SEARCH("valvola di sicurezza",A30))=FALSE,"IV","")
)</f>
        <v>III</v>
      </c>
    </row>
    <row r="31" spans="1:7" x14ac:dyDescent="0.3">
      <c r="A31" t="s">
        <v>33</v>
      </c>
      <c r="B31" t="s">
        <v>8</v>
      </c>
      <c r="C31" s="2" t="s">
        <v>41</v>
      </c>
      <c r="D31" s="1">
        <v>55</v>
      </c>
      <c r="E31" s="1">
        <v>16</v>
      </c>
      <c r="F31" s="3" t="s">
        <v>10</v>
      </c>
      <c r="G31" s="1" t="str">
        <f>IF(OR(ISERROR(SEARCH("recipiente",A31))=FALSE, ISERROR(SEARCH("serbatoio",A31))=FALSE, ISERROR(SEARCH("scambiatore",A31))=FALSE),
    IF(D31*E31&gt;3000,"IV",
        IF(D31*E31&gt;1000,"III",
            IF(D31*E31&gt;200,"II",
                IF(D31*E31&gt;50,"I","")
            )
        )
    ),
    IF(ISERROR(SEARCH("valvola di sicurezza",A31))=FALSE,"IV","")
)</f>
        <v>II</v>
      </c>
    </row>
    <row r="32" spans="1:7" x14ac:dyDescent="0.3">
      <c r="A32" t="s">
        <v>33</v>
      </c>
      <c r="B32" t="s">
        <v>8</v>
      </c>
      <c r="C32" s="2" t="s">
        <v>42</v>
      </c>
      <c r="D32" s="1">
        <v>55</v>
      </c>
      <c r="E32" s="1">
        <v>16</v>
      </c>
      <c r="F32" s="3" t="s">
        <v>10</v>
      </c>
      <c r="G32" s="1" t="str">
        <f>IF(OR(ISERROR(SEARCH("recipiente",A32))=FALSE, ISERROR(SEARCH("serbatoio",A32))=FALSE, ISERROR(SEARCH("scambiatore",A32))=FALSE),
    IF(D32*E32&gt;3000,"IV",
        IF(D32*E32&gt;1000,"III",
            IF(D32*E32&gt;200,"II",
                IF(D32*E32&gt;50,"I","")
            )
        )
    ),
    IF(ISERROR(SEARCH("valvola di sicurezza",A32))=FALSE,"IV","")
)</f>
        <v>II</v>
      </c>
    </row>
    <row r="33" spans="1:7" x14ac:dyDescent="0.3">
      <c r="A33" t="s">
        <v>33</v>
      </c>
      <c r="B33" t="s">
        <v>8</v>
      </c>
      <c r="C33" s="2" t="s">
        <v>43</v>
      </c>
      <c r="D33" s="1">
        <v>125</v>
      </c>
      <c r="E33" s="1">
        <v>16</v>
      </c>
      <c r="F33" s="3" t="s">
        <v>10</v>
      </c>
      <c r="G33" s="1" t="str">
        <f>IF(OR(ISERROR(SEARCH("recipiente",A33))=FALSE, ISERROR(SEARCH("serbatoio",A33))=FALSE, ISERROR(SEARCH("scambiatore",A33))=FALSE),
    IF(D33*E33&gt;3000,"IV",
        IF(D33*E33&gt;1000,"III",
            IF(D33*E33&gt;200,"II",
                IF(D33*E33&gt;50,"I","")
            )
        )
    ),
    IF(ISERROR(SEARCH("valvola di sicurezza",A33))=FALSE,"IV","")
)</f>
        <v>III</v>
      </c>
    </row>
    <row r="34" spans="1:7" x14ac:dyDescent="0.3">
      <c r="A34" t="s">
        <v>33</v>
      </c>
      <c r="B34" t="s">
        <v>8</v>
      </c>
      <c r="C34" s="2" t="s">
        <v>44</v>
      </c>
      <c r="D34" s="1">
        <v>12</v>
      </c>
      <c r="E34" s="1">
        <v>16</v>
      </c>
      <c r="F34" s="3" t="s">
        <v>10</v>
      </c>
      <c r="G34" s="1" t="str">
        <f>IF(OR(ISERROR(SEARCH("recipiente",A34))=FALSE, ISERROR(SEARCH("serbatoio",A34))=FALSE, ISERROR(SEARCH("scambiatore",A34))=FALSE),
    IF(D34*E34&gt;3000,"IV",
        IF(D34*E34&gt;1000,"III",
            IF(D34*E34&gt;200,"II",
                IF(D34*E34&gt;50,"I","")
            )
        )
    ),
    IF(ISERROR(SEARCH("valvola di sicurezza",A34))=FALSE,"IV","")
)</f>
        <v>I</v>
      </c>
    </row>
    <row r="35" spans="1:7" x14ac:dyDescent="0.3">
      <c r="A35" t="s">
        <v>33</v>
      </c>
      <c r="B35" t="s">
        <v>8</v>
      </c>
      <c r="C35" s="2" t="s">
        <v>45</v>
      </c>
      <c r="D35" s="1">
        <v>55</v>
      </c>
      <c r="E35" s="1">
        <v>15</v>
      </c>
      <c r="F35" s="3" t="s">
        <v>10</v>
      </c>
      <c r="G35" s="1" t="str">
        <f>IF(OR(ISERROR(SEARCH("recipiente",A35))=FALSE, ISERROR(SEARCH("serbatoio",A35))=FALSE, ISERROR(SEARCH("scambiatore",A35))=FALSE),
    IF(D35*E35&gt;3000,"IV",
        IF(D35*E35&gt;1000,"III",
            IF(D35*E35&gt;200,"II",
                IF(D35*E35&gt;50,"I","")
            )
        )
    ),
    IF(ISERROR(SEARCH("valvola di sicurezza",A35))=FALSE,"IV","")
)</f>
        <v>II</v>
      </c>
    </row>
    <row r="36" spans="1:7" x14ac:dyDescent="0.3">
      <c r="A36" t="s">
        <v>33</v>
      </c>
      <c r="B36" t="s">
        <v>8</v>
      </c>
      <c r="C36" s="2" t="s">
        <v>46</v>
      </c>
      <c r="D36" s="1">
        <v>75</v>
      </c>
      <c r="E36" s="1">
        <v>16</v>
      </c>
      <c r="F36" s="3" t="s">
        <v>10</v>
      </c>
      <c r="G36" s="1" t="str">
        <f>IF(OR(ISERROR(SEARCH("recipiente",A36))=FALSE, ISERROR(SEARCH("serbatoio",A36))=FALSE, ISERROR(SEARCH("scambiatore",A36))=FALSE),
    IF(D36*E36&gt;3000,"IV",
        IF(D36*E36&gt;1000,"III",
            IF(D36*E36&gt;200,"II",
                IF(D36*E36&gt;50,"I","")
            )
        )
    ),
    IF(ISERROR(SEARCH("valvola di sicurezza",A36))=FALSE,"IV","")
)</f>
        <v>III</v>
      </c>
    </row>
    <row r="37" spans="1:7" x14ac:dyDescent="0.3">
      <c r="A37" t="s">
        <v>33</v>
      </c>
      <c r="B37" t="s">
        <v>8</v>
      </c>
      <c r="C37" s="2" t="s">
        <v>47</v>
      </c>
      <c r="D37" s="1">
        <v>30</v>
      </c>
      <c r="E37" s="1">
        <v>16</v>
      </c>
      <c r="F37" s="3" t="s">
        <v>10</v>
      </c>
      <c r="G37" s="1" t="str">
        <f>IF(OR(ISERROR(SEARCH("recipiente",A37))=FALSE, ISERROR(SEARCH("serbatoio",A37))=FALSE, ISERROR(SEARCH("scambiatore",A37))=FALSE),
    IF(D37*E37&gt;3000,"IV",
        IF(D37*E37&gt;1000,"III",
            IF(D37*E37&gt;200,"II",
                IF(D37*E37&gt;50,"I","")
            )
        )
    ),
    IF(ISERROR(SEARCH("valvola di sicurezza",A37))=FALSE,"IV","")
)</f>
        <v>II</v>
      </c>
    </row>
    <row r="38" spans="1:7" x14ac:dyDescent="0.3">
      <c r="A38" t="s">
        <v>33</v>
      </c>
      <c r="B38" t="s">
        <v>8</v>
      </c>
      <c r="C38" s="2" t="s">
        <v>48</v>
      </c>
      <c r="D38" s="1">
        <v>41</v>
      </c>
      <c r="E38" s="1">
        <v>14.5</v>
      </c>
      <c r="F38" s="3" t="s">
        <v>10</v>
      </c>
      <c r="G38" s="1" t="str">
        <f>IF(OR(ISERROR(SEARCH("recipiente",A38))=FALSE, ISERROR(SEARCH("serbatoio",A38))=FALSE, ISERROR(SEARCH("scambiatore",A38))=FALSE),
    IF(D38*E38&gt;3000,"IV",
        IF(D38*E38&gt;1000,"III",
            IF(D38*E38&gt;200,"II",
                IF(D38*E38&gt;50,"I","")
            )
        )
    ),
    IF(ISERROR(SEARCH("valvola di sicurezza",A38))=FALSE,"IV","")
)</f>
        <v>II</v>
      </c>
    </row>
    <row r="39" spans="1:7" x14ac:dyDescent="0.3">
      <c r="A39" t="s">
        <v>33</v>
      </c>
      <c r="B39" t="s">
        <v>8</v>
      </c>
      <c r="C39" s="2" t="s">
        <v>49</v>
      </c>
      <c r="D39" s="1">
        <v>50</v>
      </c>
      <c r="E39" s="1">
        <v>15</v>
      </c>
      <c r="F39" s="3" t="s">
        <v>10</v>
      </c>
      <c r="G39" s="1" t="str">
        <f>IF(OR(ISERROR(SEARCH("recipiente",A39))=FALSE, ISERROR(SEARCH("serbatoio",A39))=FALSE, ISERROR(SEARCH("scambiatore",A39))=FALSE),
    IF(D39*E39&gt;3000,"IV",
        IF(D39*E39&gt;1000,"III",
            IF(D39*E39&gt;200,"II",
                IF(D39*E39&gt;50,"I","")
            )
        )
    ),
    IF(ISERROR(SEARCH("valvola di sicurezza",A39))=FALSE,"IV","")
)</f>
        <v>II</v>
      </c>
    </row>
    <row r="40" spans="1:7" x14ac:dyDescent="0.3">
      <c r="A40" t="s">
        <v>33</v>
      </c>
      <c r="B40" t="s">
        <v>8</v>
      </c>
      <c r="C40" s="2" t="s">
        <v>50</v>
      </c>
      <c r="D40" s="1">
        <v>63</v>
      </c>
      <c r="E40" s="1">
        <v>15</v>
      </c>
      <c r="F40" s="3" t="s">
        <v>10</v>
      </c>
      <c r="G40" s="1" t="str">
        <f>IF(OR(ISERROR(SEARCH("recipiente",A40))=FALSE, ISERROR(SEARCH("serbatoio",A40))=FALSE, ISERROR(SEARCH("scambiatore",A40))=FALSE),
    IF(D40*E40&gt;3000,"IV",
        IF(D40*E40&gt;1000,"III",
            IF(D40*E40&gt;200,"II",
                IF(D40*E40&gt;50,"I","")
            )
        )
    ),
    IF(ISERROR(SEARCH("valvola di sicurezza",A40))=FALSE,"IV","")
)</f>
        <v>II</v>
      </c>
    </row>
    <row r="41" spans="1:7" x14ac:dyDescent="0.3">
      <c r="A41" t="s">
        <v>33</v>
      </c>
      <c r="B41" t="s">
        <v>8</v>
      </c>
      <c r="C41" s="2" t="s">
        <v>51</v>
      </c>
      <c r="D41" s="1">
        <v>41</v>
      </c>
      <c r="E41" s="1">
        <v>15</v>
      </c>
      <c r="F41" s="3" t="s">
        <v>10</v>
      </c>
      <c r="G41" s="1" t="str">
        <f>IF(OR(ISERROR(SEARCH("recipiente",A41))=FALSE, ISERROR(SEARCH("serbatoio",A41))=FALSE, ISERROR(SEARCH("scambiatore",A41))=FALSE),
    IF(D41*E41&gt;3000,"IV",
        IF(D41*E41&gt;1000,"III",
            IF(D41*E41&gt;200,"II",
                IF(D41*E41&gt;50,"I","")
            )
        )
    ),
    IF(ISERROR(SEARCH("valvola di sicurezza",A41))=FALSE,"IV","")
)</f>
        <v>II</v>
      </c>
    </row>
    <row r="42" spans="1:7" x14ac:dyDescent="0.3">
      <c r="A42" t="s">
        <v>33</v>
      </c>
      <c r="B42" t="s">
        <v>8</v>
      </c>
      <c r="C42" s="2" t="s">
        <v>52</v>
      </c>
      <c r="D42" s="1">
        <v>55</v>
      </c>
      <c r="E42" s="1">
        <v>15</v>
      </c>
      <c r="F42" s="3" t="s">
        <v>10</v>
      </c>
      <c r="G42" s="1" t="str">
        <f>IF(OR(ISERROR(SEARCH("recipiente",A42))=FALSE, ISERROR(SEARCH("serbatoio",A42))=FALSE, ISERROR(SEARCH("scambiatore",A42))=FALSE),
    IF(D42*E42&gt;3000,"IV",
        IF(D42*E42&gt;1000,"III",
            IF(D42*E42&gt;200,"II",
                IF(D42*E42&gt;50,"I","")
            )
        )
    ),
    IF(ISERROR(SEARCH("valvola di sicurezza",A42))=FALSE,"IV","")
)</f>
        <v>II</v>
      </c>
    </row>
    <row r="43" spans="1:7" x14ac:dyDescent="0.3">
      <c r="A43" t="s">
        <v>33</v>
      </c>
      <c r="B43" t="s">
        <v>8</v>
      </c>
      <c r="C43" s="2" t="s">
        <v>53</v>
      </c>
      <c r="D43" s="1">
        <v>26</v>
      </c>
      <c r="E43" s="1">
        <v>15</v>
      </c>
      <c r="F43" s="3" t="s">
        <v>10</v>
      </c>
      <c r="G43" s="1" t="str">
        <f>IF(OR(ISERROR(SEARCH("recipiente",A43))=FALSE, ISERROR(SEARCH("serbatoio",A43))=FALSE, ISERROR(SEARCH("scambiatore",A43))=FALSE),
    IF(D43*E43&gt;3000,"IV",
        IF(D43*E43&gt;1000,"III",
            IF(D43*E43&gt;200,"II",
                IF(D43*E43&gt;50,"I","")
            )
        )
    ),
    IF(ISERROR(SEARCH("valvola di sicurezza",A43))=FALSE,"IV","")
)</f>
        <v>II</v>
      </c>
    </row>
    <row r="44" spans="1:7" x14ac:dyDescent="0.3">
      <c r="A44" t="s">
        <v>33</v>
      </c>
      <c r="B44" t="s">
        <v>8</v>
      </c>
      <c r="C44" s="2" t="s">
        <v>54</v>
      </c>
      <c r="D44" s="1">
        <v>25</v>
      </c>
      <c r="E44" s="1">
        <v>15</v>
      </c>
      <c r="F44" s="3" t="s">
        <v>10</v>
      </c>
      <c r="G44" s="1" t="str">
        <f>IF(OR(ISERROR(SEARCH("recipiente",A44))=FALSE, ISERROR(SEARCH("serbatoio",A44))=FALSE, ISERROR(SEARCH("scambiatore",A44))=FALSE),
    IF(D44*E44&gt;3000,"IV",
        IF(D44*E44&gt;1000,"III",
            IF(D44*E44&gt;200,"II",
                IF(D44*E44&gt;50,"I","")
            )
        )
    ),
    IF(ISERROR(SEARCH("valvola di sicurezza",A44))=FALSE,"IV","")
)</f>
        <v>II</v>
      </c>
    </row>
    <row r="45" spans="1:7" x14ac:dyDescent="0.3">
      <c r="A45" t="s">
        <v>33</v>
      </c>
      <c r="B45" t="s">
        <v>8</v>
      </c>
      <c r="C45" s="2" t="s">
        <v>55</v>
      </c>
      <c r="D45" s="1">
        <v>30</v>
      </c>
      <c r="E45" s="1">
        <v>15</v>
      </c>
      <c r="F45" s="3" t="s">
        <v>10</v>
      </c>
      <c r="G45" s="1" t="str">
        <f>IF(OR(ISERROR(SEARCH("recipiente",A45))=FALSE, ISERROR(SEARCH("serbatoio",A45))=FALSE, ISERROR(SEARCH("scambiatore",A45))=FALSE),
    IF(D45*E45&gt;3000,"IV",
        IF(D45*E45&gt;1000,"III",
            IF(D45*E45&gt;200,"II",
                IF(D45*E45&gt;50,"I","")
            )
        )
    ),
    IF(ISERROR(SEARCH("valvola di sicurezza",A45))=FALSE,"IV","")
)</f>
        <v>II</v>
      </c>
    </row>
    <row r="46" spans="1:7" x14ac:dyDescent="0.3">
      <c r="A46" t="s">
        <v>33</v>
      </c>
      <c r="B46" t="s">
        <v>8</v>
      </c>
      <c r="C46" s="2" t="s">
        <v>56</v>
      </c>
      <c r="D46" s="1">
        <v>185</v>
      </c>
      <c r="E46" s="1">
        <v>16</v>
      </c>
      <c r="F46" s="3" t="s">
        <v>10</v>
      </c>
      <c r="G46" s="1" t="str">
        <f>IF(OR(ISERROR(SEARCH("recipiente",A46))=FALSE, ISERROR(SEARCH("serbatoio",A46))=FALSE, ISERROR(SEARCH("scambiatore",A46))=FALSE),
    IF(D46*E46&gt;3000,"IV",
        IF(D46*E46&gt;1000,"III",
            IF(D46*E46&gt;200,"II",
                IF(D46*E46&gt;50,"I","")
            )
        )
    ),
    IF(ISERROR(SEARCH("valvola di sicurezza",A46))=FALSE,"IV","")
)</f>
        <v>III</v>
      </c>
    </row>
    <row r="47" spans="1:7" x14ac:dyDescent="0.3">
      <c r="A47" t="s">
        <v>33</v>
      </c>
      <c r="B47" t="s">
        <v>8</v>
      </c>
      <c r="C47" s="2" t="s">
        <v>57</v>
      </c>
      <c r="D47" s="1">
        <v>100</v>
      </c>
      <c r="E47" s="1">
        <v>16</v>
      </c>
      <c r="F47" s="3" t="s">
        <v>58</v>
      </c>
      <c r="G47" s="1" t="str">
        <f>IF(OR(ISERROR(SEARCH("recipiente",A47))=FALSE, ISERROR(SEARCH("serbatoio",A47))=FALSE, ISERROR(SEARCH("scambiatore",A47))=FALSE),
    IF(D47*E47&gt;3000,"IV",
        IF(D47*E47&gt;1000,"III",
            IF(D47*E47&gt;200,"II",
                IF(D47*E47&gt;50,"I","")
            )
        )
    ),
    IF(ISERROR(SEARCH("valvola di sicurezza",A47))=FALSE,"IV","")
)</f>
        <v>III</v>
      </c>
    </row>
    <row r="48" spans="1:7" x14ac:dyDescent="0.3">
      <c r="A48" t="s">
        <v>33</v>
      </c>
      <c r="B48" t="s">
        <v>8</v>
      </c>
      <c r="C48" s="2" t="s">
        <v>59</v>
      </c>
      <c r="D48" s="1">
        <v>28</v>
      </c>
      <c r="E48" s="1">
        <v>15</v>
      </c>
      <c r="F48" s="3" t="s">
        <v>10</v>
      </c>
      <c r="G48" s="1" t="str">
        <f>IF(OR(ISERROR(SEARCH("recipiente",A48))=FALSE, ISERROR(SEARCH("serbatoio",A48))=FALSE, ISERROR(SEARCH("scambiatore",A48))=FALSE),
    IF(D48*E48&gt;3000,"IV",
        IF(D48*E48&gt;1000,"III",
            IF(D48*E48&gt;200,"II",
                IF(D48*E48&gt;50,"I","")
            )
        )
    ),
    IF(ISERROR(SEARCH("valvola di sicurezza",A48))=FALSE,"IV","")
)</f>
        <v>II</v>
      </c>
    </row>
    <row r="49" spans="1:7" x14ac:dyDescent="0.3">
      <c r="A49" t="s">
        <v>33</v>
      </c>
      <c r="B49" t="s">
        <v>8</v>
      </c>
      <c r="C49" s="2" t="s">
        <v>60</v>
      </c>
      <c r="D49" s="1">
        <v>28</v>
      </c>
      <c r="E49" s="1">
        <v>15</v>
      </c>
      <c r="F49" s="3" t="s">
        <v>10</v>
      </c>
      <c r="G49" s="1" t="str">
        <f>IF(OR(ISERROR(SEARCH("recipiente",A49))=FALSE, ISERROR(SEARCH("serbatoio",A49))=FALSE, ISERROR(SEARCH("scambiatore",A49))=FALSE),
    IF(D49*E49&gt;3000,"IV",
        IF(D49*E49&gt;1000,"III",
            IF(D49*E49&gt;200,"II",
                IF(D49*E49&gt;50,"I","")
            )
        )
    ),
    IF(ISERROR(SEARCH("valvola di sicurezza",A49))=FALSE,"IV","")
)</f>
        <v>II</v>
      </c>
    </row>
    <row r="50" spans="1:7" x14ac:dyDescent="0.3">
      <c r="A50" t="s">
        <v>33</v>
      </c>
      <c r="B50" t="s">
        <v>8</v>
      </c>
      <c r="C50" s="2" t="s">
        <v>61</v>
      </c>
      <c r="D50" s="1">
        <v>55</v>
      </c>
      <c r="E50" s="1">
        <v>15</v>
      </c>
      <c r="F50" s="3" t="s">
        <v>10</v>
      </c>
      <c r="G50" s="1" t="str">
        <f>IF(OR(ISERROR(SEARCH("recipiente",A50))=FALSE, ISERROR(SEARCH("serbatoio",A50))=FALSE, ISERROR(SEARCH("scambiatore",A50))=FALSE),
    IF(D50*E50&gt;3000,"IV",
        IF(D50*E50&gt;1000,"III",
            IF(D50*E50&gt;200,"II",
                IF(D50*E50&gt;50,"I","")
            )
        )
    ),
    IF(ISERROR(SEARCH("valvola di sicurezza",A50))=FALSE,"IV","")
)</f>
        <v>II</v>
      </c>
    </row>
    <row r="51" spans="1:7" x14ac:dyDescent="0.3">
      <c r="A51" t="s">
        <v>33</v>
      </c>
      <c r="B51" t="s">
        <v>8</v>
      </c>
      <c r="C51" s="2">
        <v>3080</v>
      </c>
      <c r="D51" s="1">
        <v>80</v>
      </c>
      <c r="E51" s="1">
        <v>16</v>
      </c>
      <c r="F51" s="3" t="s">
        <v>10</v>
      </c>
      <c r="G51" s="1" t="str">
        <f>IF(OR(ISERROR(SEARCH("recipiente",A51))=FALSE, ISERROR(SEARCH("serbatoio",A51))=FALSE, ISERROR(SEARCH("scambiatore",A51))=FALSE),
    IF(D51*E51&gt;3000,"IV",
        IF(D51*E51&gt;1000,"III",
            IF(D51*E51&gt;200,"II",
                IF(D51*E51&gt;50,"I","")
            )
        )
    ),
    IF(ISERROR(SEARCH("valvola di sicurezza",A51))=FALSE,"IV","")
)</f>
        <v>III</v>
      </c>
    </row>
    <row r="52" spans="1:7" x14ac:dyDescent="0.3">
      <c r="A52" t="s">
        <v>65</v>
      </c>
      <c r="B52" t="s">
        <v>8</v>
      </c>
      <c r="C52" s="2" t="s">
        <v>292</v>
      </c>
      <c r="D52" s="1">
        <v>660</v>
      </c>
      <c r="E52" s="1">
        <v>11</v>
      </c>
      <c r="F52" s="5"/>
      <c r="G52" s="1" t="str">
        <f>IF(OR(ISERROR(SEARCH("recipiente",A52))=FALSE, ISERROR(SEARCH("serbatoio",A52))=FALSE, ISERROR(SEARCH("scambiatore",A52))=FALSE),
    IF(D52*E52&gt;3000,"IV",
        IF(D52*E52&gt;1000,"III",
            IF(D52*E52&gt;200,"II",
                IF(D52*E52&gt;50,"I","")
            )
        )
    ),
    IF(ISERROR(SEARCH("valvola di sicurezza",A52))=FALSE,"IV","")
)</f>
        <v/>
      </c>
    </row>
    <row r="53" spans="1:7" x14ac:dyDescent="0.3">
      <c r="A53" t="s">
        <v>65</v>
      </c>
      <c r="B53" t="s">
        <v>8</v>
      </c>
      <c r="C53" s="2" t="s">
        <v>113</v>
      </c>
      <c r="D53" s="1">
        <v>653</v>
      </c>
      <c r="E53" s="1">
        <v>11</v>
      </c>
      <c r="F53" s="5"/>
      <c r="G53" s="1" t="str">
        <f>IF(OR(ISERROR(SEARCH("recipiente",A53))=FALSE, ISERROR(SEARCH("serbatoio",A53))=FALSE, ISERROR(SEARCH("scambiatore",A53))=FALSE),
    IF(D53*E53&gt;3000,"IV",
        IF(D53*E53&gt;1000,"III",
            IF(D53*E53&gt;200,"II",
                IF(D53*E53&gt;50,"I","")
            )
        )
    ),
    IF(ISERROR(SEARCH("valvola di sicurezza",A53))=FALSE,"IV","")
)</f>
        <v/>
      </c>
    </row>
    <row r="54" spans="1:7" x14ac:dyDescent="0.3">
      <c r="A54" t="s">
        <v>62</v>
      </c>
      <c r="B54" t="s">
        <v>63</v>
      </c>
      <c r="C54" s="2" t="s">
        <v>27</v>
      </c>
      <c r="D54" s="1">
        <v>270</v>
      </c>
      <c r="E54" s="1">
        <v>11</v>
      </c>
      <c r="F54" s="3" t="s">
        <v>20</v>
      </c>
      <c r="G54" s="1" t="str">
        <f>IF(OR(ISERROR(SEARCH("recipiente",A54))=FALSE, ISERROR(SEARCH("serbatoio",A54))=FALSE, ISERROR(SEARCH("scambiatore",A54))=FALSE),
    IF(D54*E54&gt;3000,"IV",
        IF(D54*E54&gt;1000,"III",
            IF(D54*E54&gt;200,"II",
                IF(D54*E54&gt;50,"I","")
            )
        )
    ),
    IF(ISERROR(SEARCH("valvola di sicurezza",A54))=FALSE,"IV","")
)</f>
        <v>III</v>
      </c>
    </row>
    <row r="55" spans="1:7" x14ac:dyDescent="0.3">
      <c r="A55" t="s">
        <v>62</v>
      </c>
      <c r="B55" t="s">
        <v>63</v>
      </c>
      <c r="C55" s="2" t="s">
        <v>22</v>
      </c>
      <c r="D55" s="1">
        <v>100</v>
      </c>
      <c r="E55" s="1">
        <v>11</v>
      </c>
      <c r="F55" s="4" t="s">
        <v>10</v>
      </c>
      <c r="G55" s="1" t="str">
        <f>IF(OR(ISERROR(SEARCH("recipiente",A55))=FALSE, ISERROR(SEARCH("serbatoio",A55))=FALSE, ISERROR(SEARCH("scambiatore",A55))=FALSE),
    IF(D55*E55&gt;3000,"IV",
        IF(D55*E55&gt;1000,"III",
            IF(D55*E55&gt;200,"II",
                IF(D55*E55&gt;50,"I","")
            )
        )
    ),
    IF(ISERROR(SEARCH("valvola di sicurezza",A55))=FALSE,"IV","")
)</f>
        <v>III</v>
      </c>
    </row>
    <row r="56" spans="1:7" x14ac:dyDescent="0.3">
      <c r="A56" t="s">
        <v>7</v>
      </c>
      <c r="B56" t="s">
        <v>63</v>
      </c>
      <c r="C56" s="2" t="s">
        <v>9</v>
      </c>
      <c r="D56" s="1">
        <v>215</v>
      </c>
      <c r="E56" s="1">
        <v>11.5</v>
      </c>
      <c r="F56" s="3" t="s">
        <v>10</v>
      </c>
      <c r="G56" s="1" t="str">
        <f>IF(OR(ISERROR(SEARCH("recipiente",A56))=FALSE, ISERROR(SEARCH("serbatoio",A56))=FALSE, ISERROR(SEARCH("scambiatore",A56))=FALSE),
    IF(D56*E56&gt;3000,"IV",
        IF(D56*E56&gt;1000,"III",
            IF(D56*E56&gt;200,"II",
                IF(D56*E56&gt;50,"I","")
            )
        )
    ),
    IF(ISERROR(SEARCH("valvola di sicurezza",A56))=FALSE,"IV","")
)</f>
        <v>III</v>
      </c>
    </row>
    <row r="57" spans="1:7" x14ac:dyDescent="0.3">
      <c r="A57" t="s">
        <v>7</v>
      </c>
      <c r="B57" t="s">
        <v>63</v>
      </c>
      <c r="C57" s="2" t="s">
        <v>11</v>
      </c>
      <c r="D57" s="1">
        <v>350</v>
      </c>
      <c r="E57" s="1">
        <v>11.5</v>
      </c>
      <c r="F57" s="3" t="s">
        <v>12</v>
      </c>
      <c r="G57" s="1" t="str">
        <f>IF(OR(ISERROR(SEARCH("recipiente",A57))=FALSE, ISERROR(SEARCH("serbatoio",A57))=FALSE, ISERROR(SEARCH("scambiatore",A57))=FALSE),
    IF(D57*E57&gt;3000,"IV",
        IF(D57*E57&gt;1000,"III",
            IF(D57*E57&gt;200,"II",
                IF(D57*E57&gt;50,"I","")
            )
        )
    ),
    IF(ISERROR(SEARCH("valvola di sicurezza",A57))=FALSE,"IV","")
)</f>
        <v>IV</v>
      </c>
    </row>
    <row r="58" spans="1:7" x14ac:dyDescent="0.3">
      <c r="A58" t="s">
        <v>7</v>
      </c>
      <c r="B58" t="s">
        <v>63</v>
      </c>
      <c r="C58" s="2" t="s">
        <v>13</v>
      </c>
      <c r="D58" s="1">
        <v>500</v>
      </c>
      <c r="E58" s="1">
        <v>11</v>
      </c>
      <c r="F58" s="3" t="s">
        <v>10</v>
      </c>
      <c r="G58" s="1" t="str">
        <f>IF(OR(ISERROR(SEARCH("recipiente",A58))=FALSE, ISERROR(SEARCH("serbatoio",A58))=FALSE, ISERROR(SEARCH("scambiatore",A58))=FALSE),
    IF(D58*E58&gt;3000,"IV",
        IF(D58*E58&gt;1000,"III",
            IF(D58*E58&gt;200,"II",
                IF(D58*E58&gt;50,"I","")
            )
        )
    ),
    IF(ISERROR(SEARCH("valvola di sicurezza",A58))=FALSE,"IV","")
)</f>
        <v>IV</v>
      </c>
    </row>
    <row r="59" spans="1:7" x14ac:dyDescent="0.3">
      <c r="A59" t="s">
        <v>7</v>
      </c>
      <c r="B59" t="s">
        <v>63</v>
      </c>
      <c r="C59" s="2" t="s">
        <v>14</v>
      </c>
      <c r="D59" s="1">
        <v>720</v>
      </c>
      <c r="E59" s="1">
        <v>11</v>
      </c>
      <c r="F59" s="3" t="s">
        <v>10</v>
      </c>
      <c r="G59" s="1" t="str">
        <f>IF(OR(ISERROR(SEARCH("recipiente",A59))=FALSE, ISERROR(SEARCH("serbatoio",A59))=FALSE, ISERROR(SEARCH("scambiatore",A59))=FALSE),
    IF(D59*E59&gt;3000,"IV",
        IF(D59*E59&gt;1000,"III",
            IF(D59*E59&gt;200,"II",
                IF(D59*E59&gt;50,"I","")
            )
        )
    ),
    IF(ISERROR(SEARCH("valvola di sicurezza",A59))=FALSE,"IV","")
)</f>
        <v>IV</v>
      </c>
    </row>
    <row r="60" spans="1:7" x14ac:dyDescent="0.3">
      <c r="A60" t="s">
        <v>7</v>
      </c>
      <c r="B60" t="s">
        <v>63</v>
      </c>
      <c r="C60" s="2" t="s">
        <v>15</v>
      </c>
      <c r="D60" s="1">
        <v>500</v>
      </c>
      <c r="E60" s="1">
        <v>11</v>
      </c>
      <c r="F60" s="3" t="s">
        <v>10</v>
      </c>
      <c r="G60" s="1" t="str">
        <f>IF(OR(ISERROR(SEARCH("recipiente",A60))=FALSE, ISERROR(SEARCH("serbatoio",A60))=FALSE, ISERROR(SEARCH("scambiatore",A60))=FALSE),
    IF(D60*E60&gt;3000,"IV",
        IF(D60*E60&gt;1000,"III",
            IF(D60*E60&gt;200,"II",
                IF(D60*E60&gt;50,"I","")
            )
        )
    ),
    IF(ISERROR(SEARCH("valvola di sicurezza",A60))=FALSE,"IV","")
)</f>
        <v>IV</v>
      </c>
    </row>
    <row r="61" spans="1:7" x14ac:dyDescent="0.3">
      <c r="A61" t="s">
        <v>7</v>
      </c>
      <c r="B61" t="s">
        <v>63</v>
      </c>
      <c r="C61" s="2" t="s">
        <v>16</v>
      </c>
      <c r="D61" s="1">
        <v>500</v>
      </c>
      <c r="E61" s="1">
        <v>11</v>
      </c>
      <c r="F61" s="3" t="s">
        <v>10</v>
      </c>
      <c r="G61" s="1" t="str">
        <f>IF(OR(ISERROR(SEARCH("recipiente",A61))=FALSE, ISERROR(SEARCH("serbatoio",A61))=FALSE, ISERROR(SEARCH("scambiatore",A61))=FALSE),
    IF(D61*E61&gt;3000,"IV",
        IF(D61*E61&gt;1000,"III",
            IF(D61*E61&gt;200,"II",
                IF(D61*E61&gt;50,"I","")
            )
        )
    ),
    IF(ISERROR(SEARCH("valvola di sicurezza",A61))=FALSE,"IV","")
)</f>
        <v>IV</v>
      </c>
    </row>
    <row r="62" spans="1:7" x14ac:dyDescent="0.3">
      <c r="A62" t="s">
        <v>7</v>
      </c>
      <c r="B62" t="s">
        <v>63</v>
      </c>
      <c r="C62" s="2" t="s">
        <v>17</v>
      </c>
      <c r="D62" s="1">
        <v>10000</v>
      </c>
      <c r="E62" s="1">
        <v>16</v>
      </c>
      <c r="F62" s="3" t="s">
        <v>18</v>
      </c>
      <c r="G62" s="1" t="str">
        <f>IF(OR(ISERROR(SEARCH("recipiente",A62))=FALSE, ISERROR(SEARCH("serbatoio",A62))=FALSE, ISERROR(SEARCH("scambiatore",A62))=FALSE),
    IF(D62*E62&gt;3000,"IV",
        IF(D62*E62&gt;1000,"III",
            IF(D62*E62&gt;200,"II",
                IF(D62*E62&gt;50,"I","")
            )
        )
    ),
    IF(ISERROR(SEARCH("valvola di sicurezza",A62))=FALSE,"IV","")
)</f>
        <v>IV</v>
      </c>
    </row>
    <row r="63" spans="1:7" x14ac:dyDescent="0.3">
      <c r="A63" t="s">
        <v>7</v>
      </c>
      <c r="B63" t="s">
        <v>63</v>
      </c>
      <c r="C63" s="2" t="s">
        <v>19</v>
      </c>
      <c r="D63" s="1">
        <v>90</v>
      </c>
      <c r="E63" s="1">
        <v>11</v>
      </c>
      <c r="F63" s="3" t="s">
        <v>20</v>
      </c>
      <c r="G63" s="1" t="str">
        <f>IF(OR(ISERROR(SEARCH("recipiente",A63))=FALSE, ISERROR(SEARCH("serbatoio",A63))=FALSE, ISERROR(SEARCH("scambiatore",A63))=FALSE),
    IF(D63*E63&gt;3000,"IV",
        IF(D63*E63&gt;1000,"III",
            IF(D63*E63&gt;200,"II",
                IF(D63*E63&gt;50,"I","")
            )
        )
    ),
    IF(ISERROR(SEARCH("valvola di sicurezza",A63))=FALSE,"IV","")
)</f>
        <v>II</v>
      </c>
    </row>
    <row r="64" spans="1:7" x14ac:dyDescent="0.3">
      <c r="A64" t="s">
        <v>7</v>
      </c>
      <c r="B64" t="s">
        <v>63</v>
      </c>
      <c r="C64" s="2" t="s">
        <v>21</v>
      </c>
      <c r="D64" s="1">
        <v>100</v>
      </c>
      <c r="E64" s="1">
        <v>11</v>
      </c>
      <c r="F64" s="3" t="s">
        <v>20</v>
      </c>
      <c r="G64" s="1" t="str">
        <f>IF(OR(ISERROR(SEARCH("recipiente",A64))=FALSE, ISERROR(SEARCH("serbatoio",A64))=FALSE, ISERROR(SEARCH("scambiatore",A64))=FALSE),
    IF(D64*E64&gt;3000,"IV",
        IF(D64*E64&gt;1000,"III",
            IF(D64*E64&gt;200,"II",
                IF(D64*E64&gt;50,"I","")
            )
        )
    ),
    IF(ISERROR(SEARCH("valvola di sicurezza",A64))=FALSE,"IV","")
)</f>
        <v>III</v>
      </c>
    </row>
    <row r="65" spans="1:7" x14ac:dyDescent="0.3">
      <c r="A65" t="s">
        <v>7</v>
      </c>
      <c r="B65" t="s">
        <v>63</v>
      </c>
      <c r="C65" s="2" t="s">
        <v>22</v>
      </c>
      <c r="D65" s="1">
        <v>100</v>
      </c>
      <c r="E65" s="1">
        <v>11</v>
      </c>
      <c r="F65" s="3" t="s">
        <v>20</v>
      </c>
      <c r="G65" s="1" t="str">
        <f>IF(OR(ISERROR(SEARCH("recipiente",A65))=FALSE, ISERROR(SEARCH("serbatoio",A65))=FALSE, ISERROR(SEARCH("scambiatore",A65))=FALSE),
    IF(D65*E65&gt;3000,"IV",
        IF(D65*E65&gt;1000,"III",
            IF(D65*E65&gt;200,"II",
                IF(D65*E65&gt;50,"I","")
            )
        )
    ),
    IF(ISERROR(SEARCH("valvola di sicurezza",A65))=FALSE,"IV","")
)</f>
        <v>III</v>
      </c>
    </row>
    <row r="66" spans="1:7" x14ac:dyDescent="0.3">
      <c r="A66" t="s">
        <v>7</v>
      </c>
      <c r="B66" t="s">
        <v>63</v>
      </c>
      <c r="C66" s="2" t="s">
        <v>23</v>
      </c>
      <c r="D66" s="1">
        <v>720</v>
      </c>
      <c r="E66" s="1">
        <v>11</v>
      </c>
      <c r="F66" s="3" t="s">
        <v>10</v>
      </c>
      <c r="G66" s="1" t="str">
        <f>IF(OR(ISERROR(SEARCH("recipiente",A66))=FALSE, ISERROR(SEARCH("serbatoio",A66))=FALSE, ISERROR(SEARCH("scambiatore",A66))=FALSE),
    IF(D66*E66&gt;3000,"IV",
        IF(D66*E66&gt;1000,"III",
            IF(D66*E66&gt;200,"II",
                IF(D66*E66&gt;50,"I","")
            )
        )
    ),
    IF(ISERROR(SEARCH("valvola di sicurezza",A66))=FALSE,"IV","")
)</f>
        <v>IV</v>
      </c>
    </row>
    <row r="67" spans="1:7" x14ac:dyDescent="0.3">
      <c r="A67" t="s">
        <v>7</v>
      </c>
      <c r="B67" t="s">
        <v>63</v>
      </c>
      <c r="C67" s="2" t="s">
        <v>24</v>
      </c>
      <c r="D67" s="1">
        <v>200</v>
      </c>
      <c r="E67" s="1">
        <v>11</v>
      </c>
      <c r="F67" s="3" t="s">
        <v>10</v>
      </c>
      <c r="G67" s="1" t="str">
        <f>IF(OR(ISERROR(SEARCH("recipiente",A67))=FALSE, ISERROR(SEARCH("serbatoio",A67))=FALSE, ISERROR(SEARCH("scambiatore",A67))=FALSE),
    IF(D67*E67&gt;3000,"IV",
        IF(D67*E67&gt;1000,"III",
            IF(D67*E67&gt;200,"II",
                IF(D67*E67&gt;50,"I","")
            )
        )
    ),
    IF(ISERROR(SEARCH("valvola di sicurezza",A67))=FALSE,"IV","")
)</f>
        <v>III</v>
      </c>
    </row>
    <row r="68" spans="1:7" x14ac:dyDescent="0.3">
      <c r="A68" t="s">
        <v>7</v>
      </c>
      <c r="B68" t="s">
        <v>63</v>
      </c>
      <c r="C68" s="2" t="s">
        <v>25</v>
      </c>
      <c r="D68" s="1">
        <v>200</v>
      </c>
      <c r="E68" s="1">
        <v>11</v>
      </c>
      <c r="F68" s="3" t="s">
        <v>10</v>
      </c>
      <c r="G68" s="1" t="str">
        <f>IF(OR(ISERROR(SEARCH("recipiente",A68))=FALSE, ISERROR(SEARCH("serbatoio",A68))=FALSE, ISERROR(SEARCH("scambiatore",A68))=FALSE),
    IF(D68*E68&gt;3000,"IV",
        IF(D68*E68&gt;1000,"III",
            IF(D68*E68&gt;200,"II",
                IF(D68*E68&gt;50,"I","")
            )
        )
    ),
    IF(ISERROR(SEARCH("valvola di sicurezza",A68))=FALSE,"IV","")
)</f>
        <v>III</v>
      </c>
    </row>
    <row r="69" spans="1:7" x14ac:dyDescent="0.3">
      <c r="A69" t="s">
        <v>7</v>
      </c>
      <c r="B69" t="s">
        <v>63</v>
      </c>
      <c r="C69" s="2" t="s">
        <v>26</v>
      </c>
      <c r="D69" s="1">
        <v>200</v>
      </c>
      <c r="E69" s="1">
        <v>11</v>
      </c>
      <c r="F69" s="3" t="s">
        <v>10</v>
      </c>
      <c r="G69" s="1" t="str">
        <f>IF(OR(ISERROR(SEARCH("recipiente",A69))=FALSE, ISERROR(SEARCH("serbatoio",A69))=FALSE, ISERROR(SEARCH("scambiatore",A69))=FALSE),
    IF(D69*E69&gt;3000,"IV",
        IF(D69*E69&gt;1000,"III",
            IF(D69*E69&gt;200,"II",
                IF(D69*E69&gt;50,"I","")
            )
        )
    ),
    IF(ISERROR(SEARCH("valvola di sicurezza",A69))=FALSE,"IV","")
)</f>
        <v>III</v>
      </c>
    </row>
    <row r="70" spans="1:7" x14ac:dyDescent="0.3">
      <c r="A70" t="s">
        <v>7</v>
      </c>
      <c r="B70" t="s">
        <v>63</v>
      </c>
      <c r="C70" s="2" t="s">
        <v>27</v>
      </c>
      <c r="D70" s="1">
        <v>270</v>
      </c>
      <c r="E70" s="1">
        <v>11</v>
      </c>
      <c r="F70" s="3" t="s">
        <v>20</v>
      </c>
      <c r="G70" s="1" t="str">
        <f>IF(OR(ISERROR(SEARCH("recipiente",A70))=FALSE, ISERROR(SEARCH("serbatoio",A70))=FALSE, ISERROR(SEARCH("scambiatore",A70))=FALSE),
    IF(D70*E70&gt;3000,"IV",
        IF(D70*E70&gt;1000,"III",
            IF(D70*E70&gt;200,"II",
                IF(D70*E70&gt;50,"I","")
            )
        )
    ),
    IF(ISERROR(SEARCH("valvola di sicurezza",A70))=FALSE,"IV","")
)</f>
        <v>III</v>
      </c>
    </row>
    <row r="71" spans="1:7" x14ac:dyDescent="0.3">
      <c r="A71" t="s">
        <v>7</v>
      </c>
      <c r="B71" t="s">
        <v>63</v>
      </c>
      <c r="C71" s="2" t="s">
        <v>28</v>
      </c>
      <c r="D71" s="1">
        <v>270</v>
      </c>
      <c r="E71" s="1">
        <v>11</v>
      </c>
      <c r="F71" s="3" t="s">
        <v>10</v>
      </c>
      <c r="G71" s="1" t="str">
        <f>IF(OR(ISERROR(SEARCH("recipiente",A71))=FALSE, ISERROR(SEARCH("serbatoio",A71))=FALSE, ISERROR(SEARCH("scambiatore",A71))=FALSE),
    IF(D71*E71&gt;3000,"IV",
        IF(D71*E71&gt;1000,"III",
            IF(D71*E71&gt;200,"II",
                IF(D71*E71&gt;50,"I","")
            )
        )
    ),
    IF(ISERROR(SEARCH("valvola di sicurezza",A71))=FALSE,"IV","")
)</f>
        <v>III</v>
      </c>
    </row>
    <row r="72" spans="1:7" x14ac:dyDescent="0.3">
      <c r="A72" t="s">
        <v>7</v>
      </c>
      <c r="B72" t="s">
        <v>63</v>
      </c>
      <c r="C72" s="2" t="s">
        <v>29</v>
      </c>
      <c r="D72" s="1">
        <v>720</v>
      </c>
      <c r="E72" s="1">
        <v>11</v>
      </c>
      <c r="F72" s="3" t="s">
        <v>10</v>
      </c>
      <c r="G72" s="1" t="str">
        <f>IF(OR(ISERROR(SEARCH("recipiente",A72))=FALSE, ISERROR(SEARCH("serbatoio",A72))=FALSE, ISERROR(SEARCH("scambiatore",A72))=FALSE),
    IF(D72*E72&gt;3000,"IV",
        IF(D72*E72&gt;1000,"III",
            IF(D72*E72&gt;200,"II",
                IF(D72*E72&gt;50,"I","")
            )
        )
    ),
    IF(ISERROR(SEARCH("valvola di sicurezza",A72))=FALSE,"IV","")
)</f>
        <v>IV</v>
      </c>
    </row>
    <row r="73" spans="1:7" x14ac:dyDescent="0.3">
      <c r="A73" t="s">
        <v>7</v>
      </c>
      <c r="B73" t="s">
        <v>63</v>
      </c>
      <c r="C73" s="2" t="s">
        <v>30</v>
      </c>
      <c r="D73" s="1">
        <v>2000</v>
      </c>
      <c r="E73" s="1">
        <v>12</v>
      </c>
      <c r="F73" s="3" t="s">
        <v>31</v>
      </c>
      <c r="G73" s="1" t="str">
        <f>IF(OR(ISERROR(SEARCH("recipiente",A73))=FALSE, ISERROR(SEARCH("serbatoio",A73))=FALSE, ISERROR(SEARCH("scambiatore",A73))=FALSE),
    IF(D73*E73&gt;3000,"IV",
        IF(D73*E73&gt;1000,"III",
            IF(D73*E73&gt;200,"II",
                IF(D73*E73&gt;50,"I","")
            )
        )
    ),
    IF(ISERROR(SEARCH("valvola di sicurezza",A73))=FALSE,"IV","")
)</f>
        <v>IV</v>
      </c>
    </row>
    <row r="74" spans="1:7" x14ac:dyDescent="0.3">
      <c r="A74" t="s">
        <v>7</v>
      </c>
      <c r="B74" t="s">
        <v>63</v>
      </c>
      <c r="C74" s="2" t="s">
        <v>32</v>
      </c>
      <c r="D74" s="1">
        <v>215</v>
      </c>
      <c r="E74" s="1">
        <v>11.5</v>
      </c>
      <c r="F74" s="3" t="s">
        <v>10</v>
      </c>
      <c r="G74" s="1" t="str">
        <f>IF(OR(ISERROR(SEARCH("recipiente",A74))=FALSE, ISERROR(SEARCH("serbatoio",A74))=FALSE, ISERROR(SEARCH("scambiatore",A74))=FALSE),
    IF(D74*E74&gt;3000,"IV",
        IF(D74*E74&gt;1000,"III",
            IF(D74*E74&gt;200,"II",
                IF(D74*E74&gt;50,"I","")
            )
        )
    ),
    IF(ISERROR(SEARCH("valvola di sicurezza",A74))=FALSE,"IV","")
)</f>
        <v>III</v>
      </c>
    </row>
    <row r="75" spans="1:7" x14ac:dyDescent="0.3">
      <c r="A75" t="s">
        <v>33</v>
      </c>
      <c r="B75" t="s">
        <v>63</v>
      </c>
      <c r="C75" s="2">
        <v>3034</v>
      </c>
      <c r="D75" s="1">
        <v>34</v>
      </c>
      <c r="E75" s="1">
        <v>16</v>
      </c>
      <c r="F75" s="3" t="s">
        <v>34</v>
      </c>
      <c r="G75" s="1" t="str">
        <f>IF(OR(ISERROR(SEARCH("recipiente",A75))=FALSE, ISERROR(SEARCH("serbatoio",A75))=FALSE, ISERROR(SEARCH("scambiatore",A75))=FALSE),
    IF(D75*E75&gt;3000,"IV",
        IF(D75*E75&gt;1000,"III",
            IF(D75*E75&gt;200,"II",
                IF(D75*E75&gt;50,"I","")
            )
        )
    ),
    IF(ISERROR(SEARCH("valvola di sicurezza",A75))=FALSE,"IV","")
)</f>
        <v>II</v>
      </c>
    </row>
    <row r="76" spans="1:7" x14ac:dyDescent="0.3">
      <c r="A76" t="s">
        <v>33</v>
      </c>
      <c r="B76" t="s">
        <v>63</v>
      </c>
      <c r="C76" s="2">
        <v>3070</v>
      </c>
      <c r="D76" s="1">
        <v>75</v>
      </c>
      <c r="E76" s="1">
        <v>16</v>
      </c>
      <c r="F76" s="3" t="s">
        <v>34</v>
      </c>
      <c r="G76" s="1" t="str">
        <f>IF(OR(ISERROR(SEARCH("recipiente",A76))=FALSE, ISERROR(SEARCH("serbatoio",A76))=FALSE, ISERROR(SEARCH("scambiatore",A76))=FALSE),
    IF(D76*E76&gt;3000,"IV",
        IF(D76*E76&gt;1000,"III",
            IF(D76*E76&gt;200,"II",
                IF(D76*E76&gt;50,"I","")
            )
        )
    ),
    IF(ISERROR(SEARCH("valvola di sicurezza",A76))=FALSE,"IV","")
)</f>
        <v>III</v>
      </c>
    </row>
    <row r="77" spans="1:7" x14ac:dyDescent="0.3">
      <c r="A77" t="s">
        <v>33</v>
      </c>
      <c r="B77" t="s">
        <v>63</v>
      </c>
      <c r="C77" s="2">
        <v>3134</v>
      </c>
      <c r="D77" s="1">
        <v>130</v>
      </c>
      <c r="E77" s="1">
        <v>16</v>
      </c>
      <c r="F77" s="3" t="s">
        <v>10</v>
      </c>
      <c r="G77" s="1" t="str">
        <f>IF(OR(ISERROR(SEARCH("recipiente",A77))=FALSE, ISERROR(SEARCH("serbatoio",A77))=FALSE, ISERROR(SEARCH("scambiatore",A77))=FALSE),
    IF(D77*E77&gt;3000,"IV",
        IF(D77*E77&gt;1000,"III",
            IF(D77*E77&gt;200,"II",
                IF(D77*E77&gt;50,"I","")
            )
        )
    ),
    IF(ISERROR(SEARCH("valvola di sicurezza",A77))=FALSE,"IV","")
)</f>
        <v>III</v>
      </c>
    </row>
    <row r="78" spans="1:7" x14ac:dyDescent="0.3">
      <c r="A78" t="s">
        <v>33</v>
      </c>
      <c r="B78" t="s">
        <v>63</v>
      </c>
      <c r="C78" s="2">
        <v>3137</v>
      </c>
      <c r="D78" s="1">
        <v>135</v>
      </c>
      <c r="E78" s="1">
        <v>16</v>
      </c>
      <c r="F78" s="3" t="s">
        <v>10</v>
      </c>
      <c r="G78" s="1" t="str">
        <f>IF(OR(ISERROR(SEARCH("recipiente",A78))=FALSE, ISERROR(SEARCH("serbatoio",A78))=FALSE, ISERROR(SEARCH("scambiatore",A78))=FALSE),
    IF(D78*E78&gt;3000,"IV",
        IF(D78*E78&gt;1000,"III",
            IF(D78*E78&gt;200,"II",
                IF(D78*E78&gt;50,"I","")
            )
        )
    ),
    IF(ISERROR(SEARCH("valvola di sicurezza",A78))=FALSE,"IV","")
)</f>
        <v>III</v>
      </c>
    </row>
    <row r="79" spans="1:7" x14ac:dyDescent="0.3">
      <c r="A79" t="s">
        <v>33</v>
      </c>
      <c r="B79" t="s">
        <v>63</v>
      </c>
      <c r="C79" s="2" t="s">
        <v>35</v>
      </c>
      <c r="D79" s="1">
        <v>115</v>
      </c>
      <c r="E79" s="1">
        <v>16</v>
      </c>
      <c r="F79" s="3" t="s">
        <v>10</v>
      </c>
      <c r="G79" s="1" t="str">
        <f>IF(OR(ISERROR(SEARCH("recipiente",A79))=FALSE, ISERROR(SEARCH("serbatoio",A79))=FALSE, ISERROR(SEARCH("scambiatore",A79))=FALSE),
    IF(D79*E79&gt;3000,"IV",
        IF(D79*E79&gt;1000,"III",
            IF(D79*E79&gt;200,"II",
                IF(D79*E79&gt;50,"I","")
            )
        )
    ),
    IF(ISERROR(SEARCH("valvola di sicurezza",A79))=FALSE,"IV","")
)</f>
        <v>III</v>
      </c>
    </row>
    <row r="80" spans="1:7" x14ac:dyDescent="0.3">
      <c r="A80" t="s">
        <v>33</v>
      </c>
      <c r="B80" t="s">
        <v>63</v>
      </c>
      <c r="C80" s="2" t="s">
        <v>36</v>
      </c>
      <c r="D80" s="1">
        <v>135</v>
      </c>
      <c r="E80" s="1">
        <v>16</v>
      </c>
      <c r="F80" s="3" t="s">
        <v>10</v>
      </c>
      <c r="G80" s="1" t="str">
        <f>IF(OR(ISERROR(SEARCH("recipiente",A80))=FALSE, ISERROR(SEARCH("serbatoio",A80))=FALSE, ISERROR(SEARCH("scambiatore",A80))=FALSE),
    IF(D80*E80&gt;3000,"IV",
        IF(D80*E80&gt;1000,"III",
            IF(D80*E80&gt;200,"II",
                IF(D80*E80&gt;50,"I","")
            )
        )
    ),
    IF(ISERROR(SEARCH("valvola di sicurezza",A80))=FALSE,"IV","")
)</f>
        <v>III</v>
      </c>
    </row>
    <row r="81" spans="1:7" x14ac:dyDescent="0.3">
      <c r="A81" t="s">
        <v>33</v>
      </c>
      <c r="B81" t="s">
        <v>63</v>
      </c>
      <c r="C81" s="2" t="s">
        <v>37</v>
      </c>
      <c r="D81" s="1">
        <v>75</v>
      </c>
      <c r="E81" s="1">
        <v>16</v>
      </c>
      <c r="F81" s="3" t="s">
        <v>10</v>
      </c>
      <c r="G81" s="1" t="str">
        <f>IF(OR(ISERROR(SEARCH("recipiente",A81))=FALSE, ISERROR(SEARCH("serbatoio",A81))=FALSE, ISERROR(SEARCH("scambiatore",A81))=FALSE),
    IF(D81*E81&gt;3000,"IV",
        IF(D81*E81&gt;1000,"III",
            IF(D81*E81&gt;200,"II",
                IF(D81*E81&gt;50,"I","")
            )
        )
    ),
    IF(ISERROR(SEARCH("valvola di sicurezza",A81))=FALSE,"IV","")
)</f>
        <v>III</v>
      </c>
    </row>
    <row r="82" spans="1:7" x14ac:dyDescent="0.3">
      <c r="A82" t="s">
        <v>33</v>
      </c>
      <c r="B82" t="s">
        <v>63</v>
      </c>
      <c r="C82" s="2" t="s">
        <v>38</v>
      </c>
      <c r="D82" s="1">
        <v>125</v>
      </c>
      <c r="E82" s="1">
        <v>16</v>
      </c>
      <c r="F82" s="3" t="s">
        <v>10</v>
      </c>
      <c r="G82" s="1" t="str">
        <f>IF(OR(ISERROR(SEARCH("recipiente",A82))=FALSE, ISERROR(SEARCH("serbatoio",A82))=FALSE, ISERROR(SEARCH("scambiatore",A82))=FALSE),
    IF(D82*E82&gt;3000,"IV",
        IF(D82*E82&gt;1000,"III",
            IF(D82*E82&gt;200,"II",
                IF(D82*E82&gt;50,"I","")
            )
        )
    ),
    IF(ISERROR(SEARCH("valvola di sicurezza",A82))=FALSE,"IV","")
)</f>
        <v>III</v>
      </c>
    </row>
    <row r="83" spans="1:7" x14ac:dyDescent="0.3">
      <c r="A83" t="s">
        <v>33</v>
      </c>
      <c r="B83" t="s">
        <v>63</v>
      </c>
      <c r="C83" s="2" t="s">
        <v>39</v>
      </c>
      <c r="D83" s="1">
        <v>30</v>
      </c>
      <c r="E83" s="1">
        <v>16</v>
      </c>
      <c r="F83" s="3" t="s">
        <v>10</v>
      </c>
      <c r="G83" s="1" t="str">
        <f>IF(OR(ISERROR(SEARCH("recipiente",A83))=FALSE, ISERROR(SEARCH("serbatoio",A83))=FALSE, ISERROR(SEARCH("scambiatore",A83))=FALSE),
    IF(D83*E83&gt;3000,"IV",
        IF(D83*E83&gt;1000,"III",
            IF(D83*E83&gt;200,"II",
                IF(D83*E83&gt;50,"I","")
            )
        )
    ),
    IF(ISERROR(SEARCH("valvola di sicurezza",A83))=FALSE,"IV","")
)</f>
        <v>II</v>
      </c>
    </row>
    <row r="84" spans="1:7" x14ac:dyDescent="0.3">
      <c r="A84" t="s">
        <v>33</v>
      </c>
      <c r="B84" t="s">
        <v>63</v>
      </c>
      <c r="C84" s="2" t="s">
        <v>40</v>
      </c>
      <c r="D84" s="1">
        <v>65</v>
      </c>
      <c r="E84" s="1">
        <v>16</v>
      </c>
      <c r="F84" s="3" t="s">
        <v>10</v>
      </c>
      <c r="G84" s="1" t="str">
        <f>IF(OR(ISERROR(SEARCH("recipiente",A84))=FALSE, ISERROR(SEARCH("serbatoio",A84))=FALSE, ISERROR(SEARCH("scambiatore",A84))=FALSE),
    IF(D84*E84&gt;3000,"IV",
        IF(D84*E84&gt;1000,"III",
            IF(D84*E84&gt;200,"II",
                IF(D84*E84&gt;50,"I","")
            )
        )
    ),
    IF(ISERROR(SEARCH("valvola di sicurezza",A84))=FALSE,"IV","")
)</f>
        <v>III</v>
      </c>
    </row>
    <row r="85" spans="1:7" x14ac:dyDescent="0.3">
      <c r="A85" t="s">
        <v>33</v>
      </c>
      <c r="B85" t="s">
        <v>63</v>
      </c>
      <c r="C85" s="2" t="s">
        <v>41</v>
      </c>
      <c r="D85" s="1">
        <v>55</v>
      </c>
      <c r="E85" s="1">
        <v>16</v>
      </c>
      <c r="F85" s="3" t="s">
        <v>10</v>
      </c>
      <c r="G85" s="1" t="str">
        <f>IF(OR(ISERROR(SEARCH("recipiente",A85))=FALSE, ISERROR(SEARCH("serbatoio",A85))=FALSE, ISERROR(SEARCH("scambiatore",A85))=FALSE),
    IF(D85*E85&gt;3000,"IV",
        IF(D85*E85&gt;1000,"III",
            IF(D85*E85&gt;200,"II",
                IF(D85*E85&gt;50,"I","")
            )
        )
    ),
    IF(ISERROR(SEARCH("valvola di sicurezza",A85))=FALSE,"IV","")
)</f>
        <v>II</v>
      </c>
    </row>
    <row r="86" spans="1:7" x14ac:dyDescent="0.3">
      <c r="A86" t="s">
        <v>33</v>
      </c>
      <c r="B86" t="s">
        <v>63</v>
      </c>
      <c r="C86" s="2" t="s">
        <v>42</v>
      </c>
      <c r="D86" s="1">
        <v>55</v>
      </c>
      <c r="E86" s="1">
        <v>16</v>
      </c>
      <c r="F86" s="3" t="s">
        <v>10</v>
      </c>
      <c r="G86" s="1" t="str">
        <f>IF(OR(ISERROR(SEARCH("recipiente",A86))=FALSE, ISERROR(SEARCH("serbatoio",A86))=FALSE, ISERROR(SEARCH("scambiatore",A86))=FALSE),
    IF(D86*E86&gt;3000,"IV",
        IF(D86*E86&gt;1000,"III",
            IF(D86*E86&gt;200,"II",
                IF(D86*E86&gt;50,"I","")
            )
        )
    ),
    IF(ISERROR(SEARCH("valvola di sicurezza",A86))=FALSE,"IV","")
)</f>
        <v>II</v>
      </c>
    </row>
    <row r="87" spans="1:7" x14ac:dyDescent="0.3">
      <c r="A87" t="s">
        <v>33</v>
      </c>
      <c r="B87" t="s">
        <v>63</v>
      </c>
      <c r="C87" s="2" t="s">
        <v>43</v>
      </c>
      <c r="D87" s="1">
        <v>125</v>
      </c>
      <c r="E87" s="1">
        <v>16</v>
      </c>
      <c r="F87" s="3" t="s">
        <v>10</v>
      </c>
      <c r="G87" s="1" t="str">
        <f>IF(OR(ISERROR(SEARCH("recipiente",A87))=FALSE, ISERROR(SEARCH("serbatoio",A87))=FALSE, ISERROR(SEARCH("scambiatore",A87))=FALSE),
    IF(D87*E87&gt;3000,"IV",
        IF(D87*E87&gt;1000,"III",
            IF(D87*E87&gt;200,"II",
                IF(D87*E87&gt;50,"I","")
            )
        )
    ),
    IF(ISERROR(SEARCH("valvola di sicurezza",A87))=FALSE,"IV","")
)</f>
        <v>III</v>
      </c>
    </row>
    <row r="88" spans="1:7" x14ac:dyDescent="0.3">
      <c r="A88" t="s">
        <v>33</v>
      </c>
      <c r="B88" t="s">
        <v>63</v>
      </c>
      <c r="C88" s="2" t="s">
        <v>44</v>
      </c>
      <c r="D88" s="1">
        <v>12</v>
      </c>
      <c r="E88" s="1">
        <v>16</v>
      </c>
      <c r="F88" s="3" t="s">
        <v>10</v>
      </c>
      <c r="G88" s="1" t="str">
        <f>IF(OR(ISERROR(SEARCH("recipiente",A88))=FALSE, ISERROR(SEARCH("serbatoio",A88))=FALSE, ISERROR(SEARCH("scambiatore",A88))=FALSE),
    IF(D88*E88&gt;3000,"IV",
        IF(D88*E88&gt;1000,"III",
            IF(D88*E88&gt;200,"II",
                IF(D88*E88&gt;50,"I","")
            )
        )
    ),
    IF(ISERROR(SEARCH("valvola di sicurezza",A88))=FALSE,"IV","")
)</f>
        <v>I</v>
      </c>
    </row>
    <row r="89" spans="1:7" x14ac:dyDescent="0.3">
      <c r="A89" t="s">
        <v>33</v>
      </c>
      <c r="B89" t="s">
        <v>63</v>
      </c>
      <c r="C89" s="2" t="s">
        <v>45</v>
      </c>
      <c r="D89" s="1">
        <v>55</v>
      </c>
      <c r="E89" s="1">
        <v>15</v>
      </c>
      <c r="F89" s="3" t="s">
        <v>10</v>
      </c>
      <c r="G89" s="1" t="str">
        <f>IF(OR(ISERROR(SEARCH("recipiente",A89))=FALSE, ISERROR(SEARCH("serbatoio",A89))=FALSE, ISERROR(SEARCH("scambiatore",A89))=FALSE),
    IF(D89*E89&gt;3000,"IV",
        IF(D89*E89&gt;1000,"III",
            IF(D89*E89&gt;200,"II",
                IF(D89*E89&gt;50,"I","")
            )
        )
    ),
    IF(ISERROR(SEARCH("valvola di sicurezza",A89))=FALSE,"IV","")
)</f>
        <v>II</v>
      </c>
    </row>
    <row r="90" spans="1:7" x14ac:dyDescent="0.3">
      <c r="A90" t="s">
        <v>33</v>
      </c>
      <c r="B90" t="s">
        <v>63</v>
      </c>
      <c r="C90" s="2" t="s">
        <v>46</v>
      </c>
      <c r="D90" s="1">
        <v>75</v>
      </c>
      <c r="E90" s="1">
        <v>16</v>
      </c>
      <c r="F90" s="3" t="s">
        <v>10</v>
      </c>
      <c r="G90" s="1" t="str">
        <f>IF(OR(ISERROR(SEARCH("recipiente",A90))=FALSE, ISERROR(SEARCH("serbatoio",A90))=FALSE, ISERROR(SEARCH("scambiatore",A90))=FALSE),
    IF(D90*E90&gt;3000,"IV",
        IF(D90*E90&gt;1000,"III",
            IF(D90*E90&gt;200,"II",
                IF(D90*E90&gt;50,"I","")
            )
        )
    ),
    IF(ISERROR(SEARCH("valvola di sicurezza",A90))=FALSE,"IV","")
)</f>
        <v>III</v>
      </c>
    </row>
    <row r="91" spans="1:7" x14ac:dyDescent="0.3">
      <c r="A91" t="s">
        <v>33</v>
      </c>
      <c r="B91" t="s">
        <v>63</v>
      </c>
      <c r="C91" s="2" t="s">
        <v>47</v>
      </c>
      <c r="D91" s="1">
        <v>30</v>
      </c>
      <c r="E91" s="1">
        <v>16</v>
      </c>
      <c r="F91" s="3" t="s">
        <v>10</v>
      </c>
      <c r="G91" s="1" t="str">
        <f>IF(OR(ISERROR(SEARCH("recipiente",A91))=FALSE, ISERROR(SEARCH("serbatoio",A91))=FALSE, ISERROR(SEARCH("scambiatore",A91))=FALSE),
    IF(D91*E91&gt;3000,"IV",
        IF(D91*E91&gt;1000,"III",
            IF(D91*E91&gt;200,"II",
                IF(D91*E91&gt;50,"I","")
            )
        )
    ),
    IF(ISERROR(SEARCH("valvola di sicurezza",A91))=FALSE,"IV","")
)</f>
        <v>II</v>
      </c>
    </row>
    <row r="92" spans="1:7" x14ac:dyDescent="0.3">
      <c r="A92" t="s">
        <v>33</v>
      </c>
      <c r="B92" t="s">
        <v>63</v>
      </c>
      <c r="C92" s="2" t="s">
        <v>48</v>
      </c>
      <c r="D92" s="1">
        <v>41</v>
      </c>
      <c r="E92" s="1">
        <v>14.5</v>
      </c>
      <c r="F92" s="3" t="s">
        <v>10</v>
      </c>
      <c r="G92" s="1" t="str">
        <f>IF(OR(ISERROR(SEARCH("recipiente",A92))=FALSE, ISERROR(SEARCH("serbatoio",A92))=FALSE, ISERROR(SEARCH("scambiatore",A92))=FALSE),
    IF(D92*E92&gt;3000,"IV",
        IF(D92*E92&gt;1000,"III",
            IF(D92*E92&gt;200,"II",
                IF(D92*E92&gt;50,"I","")
            )
        )
    ),
    IF(ISERROR(SEARCH("valvola di sicurezza",A92))=FALSE,"IV","")
)</f>
        <v>II</v>
      </c>
    </row>
    <row r="93" spans="1:7" x14ac:dyDescent="0.3">
      <c r="A93" t="s">
        <v>33</v>
      </c>
      <c r="B93" t="s">
        <v>63</v>
      </c>
      <c r="C93" s="2" t="s">
        <v>49</v>
      </c>
      <c r="D93" s="1">
        <v>50</v>
      </c>
      <c r="E93" s="1">
        <v>15</v>
      </c>
      <c r="F93" s="3" t="s">
        <v>10</v>
      </c>
      <c r="G93" s="1" t="str">
        <f>IF(OR(ISERROR(SEARCH("recipiente",A93))=FALSE, ISERROR(SEARCH("serbatoio",A93))=FALSE, ISERROR(SEARCH("scambiatore",A93))=FALSE),
    IF(D93*E93&gt;3000,"IV",
        IF(D93*E93&gt;1000,"III",
            IF(D93*E93&gt;200,"II",
                IF(D93*E93&gt;50,"I","")
            )
        )
    ),
    IF(ISERROR(SEARCH("valvola di sicurezza",A93))=FALSE,"IV","")
)</f>
        <v>II</v>
      </c>
    </row>
    <row r="94" spans="1:7" x14ac:dyDescent="0.3">
      <c r="A94" t="s">
        <v>33</v>
      </c>
      <c r="B94" t="s">
        <v>63</v>
      </c>
      <c r="C94" s="2" t="s">
        <v>50</v>
      </c>
      <c r="D94" s="1">
        <v>63</v>
      </c>
      <c r="E94" s="1">
        <v>15</v>
      </c>
      <c r="F94" s="3" t="s">
        <v>10</v>
      </c>
      <c r="G94" s="1" t="str">
        <f>IF(OR(ISERROR(SEARCH("recipiente",A94))=FALSE, ISERROR(SEARCH("serbatoio",A94))=FALSE, ISERROR(SEARCH("scambiatore",A94))=FALSE),
    IF(D94*E94&gt;3000,"IV",
        IF(D94*E94&gt;1000,"III",
            IF(D94*E94&gt;200,"II",
                IF(D94*E94&gt;50,"I","")
            )
        )
    ),
    IF(ISERROR(SEARCH("valvola di sicurezza",A94))=FALSE,"IV","")
)</f>
        <v>II</v>
      </c>
    </row>
    <row r="95" spans="1:7" x14ac:dyDescent="0.3">
      <c r="A95" t="s">
        <v>33</v>
      </c>
      <c r="B95" t="s">
        <v>63</v>
      </c>
      <c r="C95" s="2" t="s">
        <v>51</v>
      </c>
      <c r="D95" s="1">
        <v>41</v>
      </c>
      <c r="E95" s="1">
        <v>15</v>
      </c>
      <c r="F95" s="3" t="s">
        <v>10</v>
      </c>
      <c r="G95" s="1" t="str">
        <f>IF(OR(ISERROR(SEARCH("recipiente",A95))=FALSE, ISERROR(SEARCH("serbatoio",A95))=FALSE, ISERROR(SEARCH("scambiatore",A95))=FALSE),
    IF(D95*E95&gt;3000,"IV",
        IF(D95*E95&gt;1000,"III",
            IF(D95*E95&gt;200,"II",
                IF(D95*E95&gt;50,"I","")
            )
        )
    ),
    IF(ISERROR(SEARCH("valvola di sicurezza",A95))=FALSE,"IV","")
)</f>
        <v>II</v>
      </c>
    </row>
    <row r="96" spans="1:7" x14ac:dyDescent="0.3">
      <c r="A96" t="s">
        <v>33</v>
      </c>
      <c r="B96" t="s">
        <v>63</v>
      </c>
      <c r="C96" s="2" t="s">
        <v>52</v>
      </c>
      <c r="D96" s="1">
        <v>55</v>
      </c>
      <c r="E96" s="1">
        <v>15</v>
      </c>
      <c r="F96" s="3" t="s">
        <v>10</v>
      </c>
      <c r="G96" s="1" t="str">
        <f>IF(OR(ISERROR(SEARCH("recipiente",A96))=FALSE, ISERROR(SEARCH("serbatoio",A96))=FALSE, ISERROR(SEARCH("scambiatore",A96))=FALSE),
    IF(D96*E96&gt;3000,"IV",
        IF(D96*E96&gt;1000,"III",
            IF(D96*E96&gt;200,"II",
                IF(D96*E96&gt;50,"I","")
            )
        )
    ),
    IF(ISERROR(SEARCH("valvola di sicurezza",A96))=FALSE,"IV","")
)</f>
        <v>II</v>
      </c>
    </row>
    <row r="97" spans="1:7" x14ac:dyDescent="0.3">
      <c r="A97" t="s">
        <v>33</v>
      </c>
      <c r="B97" t="s">
        <v>63</v>
      </c>
      <c r="C97" s="2" t="s">
        <v>53</v>
      </c>
      <c r="D97" s="1">
        <v>26</v>
      </c>
      <c r="E97" s="1">
        <v>15</v>
      </c>
      <c r="F97" s="3" t="s">
        <v>10</v>
      </c>
      <c r="G97" s="1" t="str">
        <f>IF(OR(ISERROR(SEARCH("recipiente",A97))=FALSE, ISERROR(SEARCH("serbatoio",A97))=FALSE, ISERROR(SEARCH("scambiatore",A97))=FALSE),
    IF(D97*E97&gt;3000,"IV",
        IF(D97*E97&gt;1000,"III",
            IF(D97*E97&gt;200,"II",
                IF(D97*E97&gt;50,"I","")
            )
        )
    ),
    IF(ISERROR(SEARCH("valvola di sicurezza",A97))=FALSE,"IV","")
)</f>
        <v>II</v>
      </c>
    </row>
    <row r="98" spans="1:7" x14ac:dyDescent="0.3">
      <c r="A98" t="s">
        <v>33</v>
      </c>
      <c r="B98" t="s">
        <v>63</v>
      </c>
      <c r="C98" s="2" t="s">
        <v>54</v>
      </c>
      <c r="D98" s="1">
        <v>25</v>
      </c>
      <c r="E98" s="1">
        <v>15</v>
      </c>
      <c r="F98" s="3" t="s">
        <v>10</v>
      </c>
      <c r="G98" s="1" t="str">
        <f>IF(OR(ISERROR(SEARCH("recipiente",A98))=FALSE, ISERROR(SEARCH("serbatoio",A98))=FALSE, ISERROR(SEARCH("scambiatore",A98))=FALSE),
    IF(D98*E98&gt;3000,"IV",
        IF(D98*E98&gt;1000,"III",
            IF(D98*E98&gt;200,"II",
                IF(D98*E98&gt;50,"I","")
            )
        )
    ),
    IF(ISERROR(SEARCH("valvola di sicurezza",A98))=FALSE,"IV","")
)</f>
        <v>II</v>
      </c>
    </row>
    <row r="99" spans="1:7" x14ac:dyDescent="0.3">
      <c r="A99" t="s">
        <v>33</v>
      </c>
      <c r="B99" t="s">
        <v>63</v>
      </c>
      <c r="C99" s="2" t="s">
        <v>55</v>
      </c>
      <c r="D99" s="1">
        <v>30</v>
      </c>
      <c r="E99" s="1">
        <v>15</v>
      </c>
      <c r="F99" s="3" t="s">
        <v>10</v>
      </c>
      <c r="G99" s="1" t="str">
        <f>IF(OR(ISERROR(SEARCH("recipiente",A99))=FALSE, ISERROR(SEARCH("serbatoio",A99))=FALSE, ISERROR(SEARCH("scambiatore",A99))=FALSE),
    IF(D99*E99&gt;3000,"IV",
        IF(D99*E99&gt;1000,"III",
            IF(D99*E99&gt;200,"II",
                IF(D99*E99&gt;50,"I","")
            )
        )
    ),
    IF(ISERROR(SEARCH("valvola di sicurezza",A99))=FALSE,"IV","")
)</f>
        <v>II</v>
      </c>
    </row>
    <row r="100" spans="1:7" x14ac:dyDescent="0.3">
      <c r="A100" t="s">
        <v>33</v>
      </c>
      <c r="B100" t="s">
        <v>63</v>
      </c>
      <c r="C100" s="2" t="s">
        <v>56</v>
      </c>
      <c r="D100" s="1">
        <v>185</v>
      </c>
      <c r="E100" s="1">
        <v>16</v>
      </c>
      <c r="F100" s="3" t="s">
        <v>10</v>
      </c>
      <c r="G100" s="1" t="str">
        <f>IF(OR(ISERROR(SEARCH("recipiente",A100))=FALSE, ISERROR(SEARCH("serbatoio",A100))=FALSE, ISERROR(SEARCH("scambiatore",A100))=FALSE),
    IF(D100*E100&gt;3000,"IV",
        IF(D100*E100&gt;1000,"III",
            IF(D100*E100&gt;200,"II",
                IF(D100*E100&gt;50,"I","")
            )
        )
    ),
    IF(ISERROR(SEARCH("valvola di sicurezza",A100))=FALSE,"IV","")
)</f>
        <v>III</v>
      </c>
    </row>
    <row r="101" spans="1:7" x14ac:dyDescent="0.3">
      <c r="A101" t="s">
        <v>33</v>
      </c>
      <c r="B101" t="s">
        <v>63</v>
      </c>
      <c r="C101" s="2" t="s">
        <v>57</v>
      </c>
      <c r="D101" s="1">
        <v>100</v>
      </c>
      <c r="E101" s="1">
        <v>16</v>
      </c>
      <c r="F101" s="3" t="s">
        <v>58</v>
      </c>
      <c r="G101" s="1" t="str">
        <f>IF(OR(ISERROR(SEARCH("recipiente",A101))=FALSE, ISERROR(SEARCH("serbatoio",A101))=FALSE, ISERROR(SEARCH("scambiatore",A101))=FALSE),
    IF(D101*E101&gt;3000,"IV",
        IF(D101*E101&gt;1000,"III",
            IF(D101*E101&gt;200,"II",
                IF(D101*E101&gt;50,"I","")
            )
        )
    ),
    IF(ISERROR(SEARCH("valvola di sicurezza",A101))=FALSE,"IV","")
)</f>
        <v>III</v>
      </c>
    </row>
    <row r="102" spans="1:7" x14ac:dyDescent="0.3">
      <c r="A102" t="s">
        <v>33</v>
      </c>
      <c r="B102" t="s">
        <v>63</v>
      </c>
      <c r="C102" s="2" t="s">
        <v>59</v>
      </c>
      <c r="D102" s="1">
        <v>28</v>
      </c>
      <c r="E102" s="1">
        <v>15</v>
      </c>
      <c r="F102" s="3" t="s">
        <v>10</v>
      </c>
      <c r="G102" s="1" t="str">
        <f>IF(OR(ISERROR(SEARCH("recipiente",A102))=FALSE, ISERROR(SEARCH("serbatoio",A102))=FALSE, ISERROR(SEARCH("scambiatore",A102))=FALSE),
    IF(D102*E102&gt;3000,"IV",
        IF(D102*E102&gt;1000,"III",
            IF(D102*E102&gt;200,"II",
                IF(D102*E102&gt;50,"I","")
            )
        )
    ),
    IF(ISERROR(SEARCH("valvola di sicurezza",A102))=FALSE,"IV","")
)</f>
        <v>II</v>
      </c>
    </row>
    <row r="103" spans="1:7" x14ac:dyDescent="0.3">
      <c r="A103" t="s">
        <v>33</v>
      </c>
      <c r="B103" t="s">
        <v>63</v>
      </c>
      <c r="C103" s="2" t="s">
        <v>60</v>
      </c>
      <c r="D103" s="1">
        <v>28</v>
      </c>
      <c r="E103" s="1">
        <v>15</v>
      </c>
      <c r="F103" s="3" t="s">
        <v>10</v>
      </c>
      <c r="G103" s="1" t="str">
        <f>IF(OR(ISERROR(SEARCH("recipiente",A103))=FALSE, ISERROR(SEARCH("serbatoio",A103))=FALSE, ISERROR(SEARCH("scambiatore",A103))=FALSE),
    IF(D103*E103&gt;3000,"IV",
        IF(D103*E103&gt;1000,"III",
            IF(D103*E103&gt;200,"II",
                IF(D103*E103&gt;50,"I","")
            )
        )
    ),
    IF(ISERROR(SEARCH("valvola di sicurezza",A103))=FALSE,"IV","")
)</f>
        <v>II</v>
      </c>
    </row>
    <row r="104" spans="1:7" x14ac:dyDescent="0.3">
      <c r="A104" t="s">
        <v>33</v>
      </c>
      <c r="B104" t="s">
        <v>63</v>
      </c>
      <c r="C104" s="2" t="s">
        <v>61</v>
      </c>
      <c r="D104" s="1">
        <v>55</v>
      </c>
      <c r="E104" s="1">
        <v>15</v>
      </c>
      <c r="F104" s="3" t="s">
        <v>10</v>
      </c>
      <c r="G104" s="1" t="str">
        <f>IF(OR(ISERROR(SEARCH("recipiente",A104))=FALSE, ISERROR(SEARCH("serbatoio",A104))=FALSE, ISERROR(SEARCH("scambiatore",A104))=FALSE),
    IF(D104*E104&gt;3000,"IV",
        IF(D104*E104&gt;1000,"III",
            IF(D104*E104&gt;200,"II",
                IF(D104*E104&gt;50,"I","")
            )
        )
    ),
    IF(ISERROR(SEARCH("valvola di sicurezza",A104))=FALSE,"IV","")
)</f>
        <v>II</v>
      </c>
    </row>
    <row r="105" spans="1:7" x14ac:dyDescent="0.3">
      <c r="A105" t="s">
        <v>33</v>
      </c>
      <c r="B105" t="s">
        <v>63</v>
      </c>
      <c r="C105" s="2">
        <v>3080</v>
      </c>
      <c r="D105" s="1">
        <v>80</v>
      </c>
      <c r="E105" s="1">
        <v>16</v>
      </c>
      <c r="F105" s="3" t="s">
        <v>10</v>
      </c>
      <c r="G105" s="1" t="str">
        <f>IF(OR(ISERROR(SEARCH("recipiente",A105))=FALSE, ISERROR(SEARCH("serbatoio",A105))=FALSE, ISERROR(SEARCH("scambiatore",A105))=FALSE),
    IF(D105*E105&gt;3000,"IV",
        IF(D105*E105&gt;1000,"III",
            IF(D105*E105&gt;200,"II",
                IF(D105*E105&gt;50,"I","")
            )
        )
    ),
    IF(ISERROR(SEARCH("valvola di sicurezza",A105))=FALSE,"IV","")
)</f>
        <v>III</v>
      </c>
    </row>
    <row r="106" spans="1:7" x14ac:dyDescent="0.3">
      <c r="A106" t="s">
        <v>7</v>
      </c>
      <c r="B106" t="s">
        <v>64</v>
      </c>
      <c r="C106" s="2" t="s">
        <v>9</v>
      </c>
      <c r="D106" s="1">
        <v>215</v>
      </c>
      <c r="E106" s="1">
        <v>11.5</v>
      </c>
      <c r="F106" s="3" t="s">
        <v>10</v>
      </c>
      <c r="G106" s="1" t="str">
        <f>IF(OR(ISERROR(SEARCH("recipiente",A106))=FALSE, ISERROR(SEARCH("serbatoio",A106))=FALSE, ISERROR(SEARCH("scambiatore",A106))=FALSE),
    IF(D106*E106&gt;3000,"IV",
        IF(D106*E106&gt;1000,"III",
            IF(D106*E106&gt;200,"II",
                IF(D106*E106&gt;50,"I","")
            )
        )
    ),
    IF(ISERROR(SEARCH("valvola di sicurezza",A106))=FALSE,"IV","")
)</f>
        <v>III</v>
      </c>
    </row>
    <row r="107" spans="1:7" x14ac:dyDescent="0.3">
      <c r="A107" t="s">
        <v>7</v>
      </c>
      <c r="B107" t="s">
        <v>64</v>
      </c>
      <c r="C107" s="2" t="s">
        <v>11</v>
      </c>
      <c r="D107" s="1">
        <v>350</v>
      </c>
      <c r="E107" s="1">
        <v>11.5</v>
      </c>
      <c r="F107" s="3" t="s">
        <v>12</v>
      </c>
      <c r="G107" s="1" t="str">
        <f>IF(OR(ISERROR(SEARCH("recipiente",A107))=FALSE, ISERROR(SEARCH("serbatoio",A107))=FALSE, ISERROR(SEARCH("scambiatore",A107))=FALSE),
    IF(D107*E107&gt;3000,"IV",
        IF(D107*E107&gt;1000,"III",
            IF(D107*E107&gt;200,"II",
                IF(D107*E107&gt;50,"I","")
            )
        )
    ),
    IF(ISERROR(SEARCH("valvola di sicurezza",A107))=FALSE,"IV","")
)</f>
        <v>IV</v>
      </c>
    </row>
    <row r="108" spans="1:7" x14ac:dyDescent="0.3">
      <c r="A108" t="s">
        <v>7</v>
      </c>
      <c r="B108" t="s">
        <v>64</v>
      </c>
      <c r="C108" s="2" t="s">
        <v>13</v>
      </c>
      <c r="D108" s="1">
        <v>500</v>
      </c>
      <c r="E108" s="1">
        <v>11</v>
      </c>
      <c r="F108" s="3" t="s">
        <v>10</v>
      </c>
      <c r="G108" s="1" t="str">
        <f>IF(OR(ISERROR(SEARCH("recipiente",A108))=FALSE, ISERROR(SEARCH("serbatoio",A108))=FALSE, ISERROR(SEARCH("scambiatore",A108))=FALSE),
    IF(D108*E108&gt;3000,"IV",
        IF(D108*E108&gt;1000,"III",
            IF(D108*E108&gt;200,"II",
                IF(D108*E108&gt;50,"I","")
            )
        )
    ),
    IF(ISERROR(SEARCH("valvola di sicurezza",A108))=FALSE,"IV","")
)</f>
        <v>IV</v>
      </c>
    </row>
    <row r="109" spans="1:7" x14ac:dyDescent="0.3">
      <c r="A109" t="s">
        <v>7</v>
      </c>
      <c r="B109" t="s">
        <v>64</v>
      </c>
      <c r="C109" s="2" t="s">
        <v>14</v>
      </c>
      <c r="D109" s="1">
        <v>720</v>
      </c>
      <c r="E109" s="1">
        <v>11</v>
      </c>
      <c r="F109" s="3" t="s">
        <v>10</v>
      </c>
      <c r="G109" s="1" t="str">
        <f>IF(OR(ISERROR(SEARCH("recipiente",A109))=FALSE, ISERROR(SEARCH("serbatoio",A109))=FALSE, ISERROR(SEARCH("scambiatore",A109))=FALSE),
    IF(D109*E109&gt;3000,"IV",
        IF(D109*E109&gt;1000,"III",
            IF(D109*E109&gt;200,"II",
                IF(D109*E109&gt;50,"I","")
            )
        )
    ),
    IF(ISERROR(SEARCH("valvola di sicurezza",A109))=FALSE,"IV","")
)</f>
        <v>IV</v>
      </c>
    </row>
    <row r="110" spans="1:7" x14ac:dyDescent="0.3">
      <c r="A110" t="s">
        <v>7</v>
      </c>
      <c r="B110" t="s">
        <v>64</v>
      </c>
      <c r="C110" s="2" t="s">
        <v>15</v>
      </c>
      <c r="D110" s="1">
        <v>500</v>
      </c>
      <c r="E110" s="1">
        <v>11</v>
      </c>
      <c r="F110" s="3" t="s">
        <v>10</v>
      </c>
      <c r="G110" s="1" t="str">
        <f>IF(OR(ISERROR(SEARCH("recipiente",A110))=FALSE, ISERROR(SEARCH("serbatoio",A110))=FALSE, ISERROR(SEARCH("scambiatore",A110))=FALSE),
    IF(D110*E110&gt;3000,"IV",
        IF(D110*E110&gt;1000,"III",
            IF(D110*E110&gt;200,"II",
                IF(D110*E110&gt;50,"I","")
            )
        )
    ),
    IF(ISERROR(SEARCH("valvola di sicurezza",A110))=FALSE,"IV","")
)</f>
        <v>IV</v>
      </c>
    </row>
    <row r="111" spans="1:7" x14ac:dyDescent="0.3">
      <c r="A111" t="s">
        <v>7</v>
      </c>
      <c r="B111" t="s">
        <v>64</v>
      </c>
      <c r="C111" s="2" t="s">
        <v>16</v>
      </c>
      <c r="D111" s="1">
        <v>500</v>
      </c>
      <c r="E111" s="1">
        <v>11</v>
      </c>
      <c r="F111" s="3" t="s">
        <v>10</v>
      </c>
      <c r="G111" s="1" t="str">
        <f>IF(OR(ISERROR(SEARCH("recipiente",A111))=FALSE, ISERROR(SEARCH("serbatoio",A111))=FALSE, ISERROR(SEARCH("scambiatore",A111))=FALSE),
    IF(D111*E111&gt;3000,"IV",
        IF(D111*E111&gt;1000,"III",
            IF(D111*E111&gt;200,"II",
                IF(D111*E111&gt;50,"I","")
            )
        )
    ),
    IF(ISERROR(SEARCH("valvola di sicurezza",A111))=FALSE,"IV","")
)</f>
        <v>IV</v>
      </c>
    </row>
    <row r="112" spans="1:7" x14ac:dyDescent="0.3">
      <c r="A112" t="s">
        <v>7</v>
      </c>
      <c r="B112" t="s">
        <v>64</v>
      </c>
      <c r="C112" s="2" t="s">
        <v>17</v>
      </c>
      <c r="D112" s="1">
        <v>10000</v>
      </c>
      <c r="E112" s="1">
        <v>16</v>
      </c>
      <c r="F112" s="3" t="s">
        <v>18</v>
      </c>
      <c r="G112" s="1" t="str">
        <f>IF(OR(ISERROR(SEARCH("recipiente",A112))=FALSE, ISERROR(SEARCH("serbatoio",A112))=FALSE, ISERROR(SEARCH("scambiatore",A112))=FALSE),
    IF(D112*E112&gt;3000,"IV",
        IF(D112*E112&gt;1000,"III",
            IF(D112*E112&gt;200,"II",
                IF(D112*E112&gt;50,"I","")
            )
        )
    ),
    IF(ISERROR(SEARCH("valvola di sicurezza",A112))=FALSE,"IV","")
)</f>
        <v>IV</v>
      </c>
    </row>
    <row r="113" spans="1:7" x14ac:dyDescent="0.3">
      <c r="A113" t="s">
        <v>7</v>
      </c>
      <c r="B113" t="s">
        <v>64</v>
      </c>
      <c r="C113" s="2" t="s">
        <v>19</v>
      </c>
      <c r="D113" s="1">
        <v>90</v>
      </c>
      <c r="E113" s="1">
        <v>11</v>
      </c>
      <c r="F113" s="3" t="s">
        <v>20</v>
      </c>
      <c r="G113" s="1" t="str">
        <f>IF(OR(ISERROR(SEARCH("recipiente",A113))=FALSE, ISERROR(SEARCH("serbatoio",A113))=FALSE, ISERROR(SEARCH("scambiatore",A113))=FALSE),
    IF(D113*E113&gt;3000,"IV",
        IF(D113*E113&gt;1000,"III",
            IF(D113*E113&gt;200,"II",
                IF(D113*E113&gt;50,"I","")
            )
        )
    ),
    IF(ISERROR(SEARCH("valvola di sicurezza",A113))=FALSE,"IV","")
)</f>
        <v>II</v>
      </c>
    </row>
    <row r="114" spans="1:7" x14ac:dyDescent="0.3">
      <c r="A114" t="s">
        <v>7</v>
      </c>
      <c r="B114" t="s">
        <v>64</v>
      </c>
      <c r="C114" s="2" t="s">
        <v>21</v>
      </c>
      <c r="D114" s="1">
        <v>100</v>
      </c>
      <c r="E114" s="1">
        <v>11</v>
      </c>
      <c r="F114" s="3" t="s">
        <v>20</v>
      </c>
      <c r="G114" s="1" t="str">
        <f>IF(OR(ISERROR(SEARCH("recipiente",A114))=FALSE, ISERROR(SEARCH("serbatoio",A114))=FALSE, ISERROR(SEARCH("scambiatore",A114))=FALSE),
    IF(D114*E114&gt;3000,"IV",
        IF(D114*E114&gt;1000,"III",
            IF(D114*E114&gt;200,"II",
                IF(D114*E114&gt;50,"I","")
            )
        )
    ),
    IF(ISERROR(SEARCH("valvola di sicurezza",A114))=FALSE,"IV","")
)</f>
        <v>III</v>
      </c>
    </row>
    <row r="115" spans="1:7" x14ac:dyDescent="0.3">
      <c r="A115" t="s">
        <v>7</v>
      </c>
      <c r="B115" t="s">
        <v>64</v>
      </c>
      <c r="C115" s="2" t="s">
        <v>22</v>
      </c>
      <c r="D115" s="1">
        <v>100</v>
      </c>
      <c r="E115" s="1">
        <v>11</v>
      </c>
      <c r="F115" s="3" t="s">
        <v>20</v>
      </c>
      <c r="G115" s="1" t="str">
        <f>IF(OR(ISERROR(SEARCH("recipiente",A115))=FALSE, ISERROR(SEARCH("serbatoio",A115))=FALSE, ISERROR(SEARCH("scambiatore",A115))=FALSE),
    IF(D115*E115&gt;3000,"IV",
        IF(D115*E115&gt;1000,"III",
            IF(D115*E115&gt;200,"II",
                IF(D115*E115&gt;50,"I","")
            )
        )
    ),
    IF(ISERROR(SEARCH("valvola di sicurezza",A115))=FALSE,"IV","")
)</f>
        <v>III</v>
      </c>
    </row>
    <row r="116" spans="1:7" x14ac:dyDescent="0.3">
      <c r="A116" t="s">
        <v>7</v>
      </c>
      <c r="B116" t="s">
        <v>64</v>
      </c>
      <c r="C116" s="2" t="s">
        <v>23</v>
      </c>
      <c r="D116" s="1">
        <v>720</v>
      </c>
      <c r="E116" s="1">
        <v>11</v>
      </c>
      <c r="F116" s="3" t="s">
        <v>10</v>
      </c>
      <c r="G116" s="1" t="str">
        <f>IF(OR(ISERROR(SEARCH("recipiente",A116))=FALSE, ISERROR(SEARCH("serbatoio",A116))=FALSE, ISERROR(SEARCH("scambiatore",A116))=FALSE),
    IF(D116*E116&gt;3000,"IV",
        IF(D116*E116&gt;1000,"III",
            IF(D116*E116&gt;200,"II",
                IF(D116*E116&gt;50,"I","")
            )
        )
    ),
    IF(ISERROR(SEARCH("valvola di sicurezza",A116))=FALSE,"IV","")
)</f>
        <v>IV</v>
      </c>
    </row>
    <row r="117" spans="1:7" x14ac:dyDescent="0.3">
      <c r="A117" t="s">
        <v>7</v>
      </c>
      <c r="B117" t="s">
        <v>64</v>
      </c>
      <c r="C117" s="2" t="s">
        <v>24</v>
      </c>
      <c r="D117" s="1">
        <v>200</v>
      </c>
      <c r="E117" s="1">
        <v>11</v>
      </c>
      <c r="F117" s="3" t="s">
        <v>10</v>
      </c>
      <c r="G117" s="1" t="str">
        <f>IF(OR(ISERROR(SEARCH("recipiente",A117))=FALSE, ISERROR(SEARCH("serbatoio",A117))=FALSE, ISERROR(SEARCH("scambiatore",A117))=FALSE),
    IF(D117*E117&gt;3000,"IV",
        IF(D117*E117&gt;1000,"III",
            IF(D117*E117&gt;200,"II",
                IF(D117*E117&gt;50,"I","")
            )
        )
    ),
    IF(ISERROR(SEARCH("valvola di sicurezza",A117))=FALSE,"IV","")
)</f>
        <v>III</v>
      </c>
    </row>
    <row r="118" spans="1:7" x14ac:dyDescent="0.3">
      <c r="A118" t="s">
        <v>7</v>
      </c>
      <c r="B118" t="s">
        <v>64</v>
      </c>
      <c r="C118" s="2" t="s">
        <v>25</v>
      </c>
      <c r="D118" s="1">
        <v>200</v>
      </c>
      <c r="E118" s="1">
        <v>11</v>
      </c>
      <c r="F118" s="3" t="s">
        <v>10</v>
      </c>
      <c r="G118" s="1" t="str">
        <f>IF(OR(ISERROR(SEARCH("recipiente",A118))=FALSE, ISERROR(SEARCH("serbatoio",A118))=FALSE, ISERROR(SEARCH("scambiatore",A118))=FALSE),
    IF(D118*E118&gt;3000,"IV",
        IF(D118*E118&gt;1000,"III",
            IF(D118*E118&gt;200,"II",
                IF(D118*E118&gt;50,"I","")
            )
        )
    ),
    IF(ISERROR(SEARCH("valvola di sicurezza",A118))=FALSE,"IV","")
)</f>
        <v>III</v>
      </c>
    </row>
    <row r="119" spans="1:7" x14ac:dyDescent="0.3">
      <c r="A119" t="s">
        <v>7</v>
      </c>
      <c r="B119" t="s">
        <v>64</v>
      </c>
      <c r="C119" s="2" t="s">
        <v>26</v>
      </c>
      <c r="D119" s="1">
        <v>200</v>
      </c>
      <c r="E119" s="1">
        <v>11</v>
      </c>
      <c r="F119" s="3" t="s">
        <v>10</v>
      </c>
      <c r="G119" s="1" t="str">
        <f>IF(OR(ISERROR(SEARCH("recipiente",A119))=FALSE, ISERROR(SEARCH("serbatoio",A119))=FALSE, ISERROR(SEARCH("scambiatore",A119))=FALSE),
    IF(D119*E119&gt;3000,"IV",
        IF(D119*E119&gt;1000,"III",
            IF(D119*E119&gt;200,"II",
                IF(D119*E119&gt;50,"I","")
            )
        )
    ),
    IF(ISERROR(SEARCH("valvola di sicurezza",A119))=FALSE,"IV","")
)</f>
        <v>III</v>
      </c>
    </row>
    <row r="120" spans="1:7" x14ac:dyDescent="0.3">
      <c r="A120" t="s">
        <v>7</v>
      </c>
      <c r="B120" t="s">
        <v>64</v>
      </c>
      <c r="C120" s="2" t="s">
        <v>27</v>
      </c>
      <c r="D120" s="1">
        <v>270</v>
      </c>
      <c r="E120" s="1">
        <v>11</v>
      </c>
      <c r="F120" s="3" t="s">
        <v>20</v>
      </c>
      <c r="G120" s="1" t="str">
        <f>IF(OR(ISERROR(SEARCH("recipiente",A120))=FALSE, ISERROR(SEARCH("serbatoio",A120))=FALSE, ISERROR(SEARCH("scambiatore",A120))=FALSE),
    IF(D120*E120&gt;3000,"IV",
        IF(D120*E120&gt;1000,"III",
            IF(D120*E120&gt;200,"II",
                IF(D120*E120&gt;50,"I","")
            )
        )
    ),
    IF(ISERROR(SEARCH("valvola di sicurezza",A120))=FALSE,"IV","")
)</f>
        <v>III</v>
      </c>
    </row>
    <row r="121" spans="1:7" x14ac:dyDescent="0.3">
      <c r="A121" t="s">
        <v>7</v>
      </c>
      <c r="B121" t="s">
        <v>64</v>
      </c>
      <c r="C121" s="2" t="s">
        <v>28</v>
      </c>
      <c r="D121" s="1">
        <v>270</v>
      </c>
      <c r="E121" s="1">
        <v>11</v>
      </c>
      <c r="F121" s="3" t="s">
        <v>10</v>
      </c>
      <c r="G121" s="1" t="str">
        <f>IF(OR(ISERROR(SEARCH("recipiente",A121))=FALSE, ISERROR(SEARCH("serbatoio",A121))=FALSE, ISERROR(SEARCH("scambiatore",A121))=FALSE),
    IF(D121*E121&gt;3000,"IV",
        IF(D121*E121&gt;1000,"III",
            IF(D121*E121&gt;200,"II",
                IF(D121*E121&gt;50,"I","")
            )
        )
    ),
    IF(ISERROR(SEARCH("valvola di sicurezza",A121))=FALSE,"IV","")
)</f>
        <v>III</v>
      </c>
    </row>
    <row r="122" spans="1:7" x14ac:dyDescent="0.3">
      <c r="A122" t="s">
        <v>7</v>
      </c>
      <c r="B122" t="s">
        <v>64</v>
      </c>
      <c r="C122" s="2" t="s">
        <v>29</v>
      </c>
      <c r="D122" s="1">
        <v>720</v>
      </c>
      <c r="E122" s="1">
        <v>11</v>
      </c>
      <c r="F122" s="3" t="s">
        <v>10</v>
      </c>
      <c r="G122" s="1" t="str">
        <f>IF(OR(ISERROR(SEARCH("recipiente",A122))=FALSE, ISERROR(SEARCH("serbatoio",A122))=FALSE, ISERROR(SEARCH("scambiatore",A122))=FALSE),
    IF(D122*E122&gt;3000,"IV",
        IF(D122*E122&gt;1000,"III",
            IF(D122*E122&gt;200,"II",
                IF(D122*E122&gt;50,"I","")
            )
        )
    ),
    IF(ISERROR(SEARCH("valvola di sicurezza",A122))=FALSE,"IV","")
)</f>
        <v>IV</v>
      </c>
    </row>
    <row r="123" spans="1:7" x14ac:dyDescent="0.3">
      <c r="A123" t="s">
        <v>7</v>
      </c>
      <c r="B123" t="s">
        <v>64</v>
      </c>
      <c r="C123" s="2" t="s">
        <v>30</v>
      </c>
      <c r="D123" s="1">
        <v>2000</v>
      </c>
      <c r="E123" s="1">
        <v>12</v>
      </c>
      <c r="F123" s="3" t="s">
        <v>31</v>
      </c>
      <c r="G123" s="1" t="str">
        <f>IF(OR(ISERROR(SEARCH("recipiente",A123))=FALSE, ISERROR(SEARCH("serbatoio",A123))=FALSE, ISERROR(SEARCH("scambiatore",A123))=FALSE),
    IF(D123*E123&gt;3000,"IV",
        IF(D123*E123&gt;1000,"III",
            IF(D123*E123&gt;200,"II",
                IF(D123*E123&gt;50,"I","")
            )
        )
    ),
    IF(ISERROR(SEARCH("valvola di sicurezza",A123))=FALSE,"IV","")
)</f>
        <v>IV</v>
      </c>
    </row>
    <row r="124" spans="1:7" x14ac:dyDescent="0.3">
      <c r="A124" t="s">
        <v>7</v>
      </c>
      <c r="B124" t="s">
        <v>64</v>
      </c>
      <c r="C124" s="2" t="s">
        <v>32</v>
      </c>
      <c r="D124" s="1">
        <v>215</v>
      </c>
      <c r="E124" s="1">
        <v>11.5</v>
      </c>
      <c r="F124" s="3" t="s">
        <v>10</v>
      </c>
      <c r="G124" s="1" t="str">
        <f>IF(OR(ISERROR(SEARCH("recipiente",A124))=FALSE, ISERROR(SEARCH("serbatoio",A124))=FALSE, ISERROR(SEARCH("scambiatore",A124))=FALSE),
    IF(D124*E124&gt;3000,"IV",
        IF(D124*E124&gt;1000,"III",
            IF(D124*E124&gt;200,"II",
                IF(D124*E124&gt;50,"I","")
            )
        )
    ),
    IF(ISERROR(SEARCH("valvola di sicurezza",A124))=FALSE,"IV","")
)</f>
        <v>III</v>
      </c>
    </row>
    <row r="125" spans="1:7" x14ac:dyDescent="0.3">
      <c r="A125" t="s">
        <v>33</v>
      </c>
      <c r="B125" t="s">
        <v>64</v>
      </c>
      <c r="C125" s="2">
        <v>3034</v>
      </c>
      <c r="D125" s="1">
        <v>34</v>
      </c>
      <c r="E125" s="1">
        <v>16</v>
      </c>
      <c r="F125" s="3" t="s">
        <v>34</v>
      </c>
      <c r="G125" s="1" t="str">
        <f>IF(OR(ISERROR(SEARCH("recipiente",A125))=FALSE, ISERROR(SEARCH("serbatoio",A125))=FALSE, ISERROR(SEARCH("scambiatore",A125))=FALSE),
    IF(D125*E125&gt;3000,"IV",
        IF(D125*E125&gt;1000,"III",
            IF(D125*E125&gt;200,"II",
                IF(D125*E125&gt;50,"I","")
            )
        )
    ),
    IF(ISERROR(SEARCH("valvola di sicurezza",A125))=FALSE,"IV","")
)</f>
        <v>II</v>
      </c>
    </row>
    <row r="126" spans="1:7" x14ac:dyDescent="0.3">
      <c r="A126" t="s">
        <v>33</v>
      </c>
      <c r="B126" t="s">
        <v>64</v>
      </c>
      <c r="C126" s="2">
        <v>3070</v>
      </c>
      <c r="D126" s="1">
        <v>75</v>
      </c>
      <c r="E126" s="1">
        <v>16</v>
      </c>
      <c r="F126" s="3" t="s">
        <v>34</v>
      </c>
      <c r="G126" s="1" t="str">
        <f>IF(OR(ISERROR(SEARCH("recipiente",A126))=FALSE, ISERROR(SEARCH("serbatoio",A126))=FALSE, ISERROR(SEARCH("scambiatore",A126))=FALSE),
    IF(D126*E126&gt;3000,"IV",
        IF(D126*E126&gt;1000,"III",
            IF(D126*E126&gt;200,"II",
                IF(D126*E126&gt;50,"I","")
            )
        )
    ),
    IF(ISERROR(SEARCH("valvola di sicurezza",A126))=FALSE,"IV","")
)</f>
        <v>III</v>
      </c>
    </row>
    <row r="127" spans="1:7" x14ac:dyDescent="0.3">
      <c r="A127" t="s">
        <v>33</v>
      </c>
      <c r="B127" t="s">
        <v>64</v>
      </c>
      <c r="C127" s="2">
        <v>3134</v>
      </c>
      <c r="D127" s="1">
        <v>130</v>
      </c>
      <c r="E127" s="1">
        <v>16</v>
      </c>
      <c r="F127" s="3" t="s">
        <v>10</v>
      </c>
      <c r="G127" s="1" t="str">
        <f>IF(OR(ISERROR(SEARCH("recipiente",A127))=FALSE, ISERROR(SEARCH("serbatoio",A127))=FALSE, ISERROR(SEARCH("scambiatore",A127))=FALSE),
    IF(D127*E127&gt;3000,"IV",
        IF(D127*E127&gt;1000,"III",
            IF(D127*E127&gt;200,"II",
                IF(D127*E127&gt;50,"I","")
            )
        )
    ),
    IF(ISERROR(SEARCH("valvola di sicurezza",A127))=FALSE,"IV","")
)</f>
        <v>III</v>
      </c>
    </row>
    <row r="128" spans="1:7" x14ac:dyDescent="0.3">
      <c r="A128" t="s">
        <v>33</v>
      </c>
      <c r="B128" t="s">
        <v>64</v>
      </c>
      <c r="C128" s="2">
        <v>3137</v>
      </c>
      <c r="D128" s="1">
        <v>135</v>
      </c>
      <c r="E128" s="1">
        <v>16</v>
      </c>
      <c r="F128" s="3" t="s">
        <v>10</v>
      </c>
      <c r="G128" s="1" t="str">
        <f>IF(OR(ISERROR(SEARCH("recipiente",A128))=FALSE, ISERROR(SEARCH("serbatoio",A128))=FALSE, ISERROR(SEARCH("scambiatore",A128))=FALSE),
    IF(D128*E128&gt;3000,"IV",
        IF(D128*E128&gt;1000,"III",
            IF(D128*E128&gt;200,"II",
                IF(D128*E128&gt;50,"I","")
            )
        )
    ),
    IF(ISERROR(SEARCH("valvola di sicurezza",A128))=FALSE,"IV","")
)</f>
        <v>III</v>
      </c>
    </row>
    <row r="129" spans="1:7" x14ac:dyDescent="0.3">
      <c r="A129" t="s">
        <v>33</v>
      </c>
      <c r="B129" t="s">
        <v>64</v>
      </c>
      <c r="C129" s="2" t="s">
        <v>35</v>
      </c>
      <c r="D129" s="1">
        <v>115</v>
      </c>
      <c r="E129" s="1">
        <v>16</v>
      </c>
      <c r="F129" s="3" t="s">
        <v>10</v>
      </c>
      <c r="G129" s="1" t="str">
        <f>IF(OR(ISERROR(SEARCH("recipiente",A129))=FALSE, ISERROR(SEARCH("serbatoio",A129))=FALSE, ISERROR(SEARCH("scambiatore",A129))=FALSE),
    IF(D129*E129&gt;3000,"IV",
        IF(D129*E129&gt;1000,"III",
            IF(D129*E129&gt;200,"II",
                IF(D129*E129&gt;50,"I","")
            )
        )
    ),
    IF(ISERROR(SEARCH("valvola di sicurezza",A129))=FALSE,"IV","")
)</f>
        <v>III</v>
      </c>
    </row>
    <row r="130" spans="1:7" x14ac:dyDescent="0.3">
      <c r="A130" t="s">
        <v>33</v>
      </c>
      <c r="B130" t="s">
        <v>64</v>
      </c>
      <c r="C130" s="2" t="s">
        <v>36</v>
      </c>
      <c r="D130" s="1">
        <v>135</v>
      </c>
      <c r="E130" s="1">
        <v>16</v>
      </c>
      <c r="F130" s="3" t="s">
        <v>10</v>
      </c>
      <c r="G130" s="1" t="str">
        <f>IF(OR(ISERROR(SEARCH("recipiente",A130))=FALSE, ISERROR(SEARCH("serbatoio",A130))=FALSE, ISERROR(SEARCH("scambiatore",A130))=FALSE),
    IF(D130*E130&gt;3000,"IV",
        IF(D130*E130&gt;1000,"III",
            IF(D130*E130&gt;200,"II",
                IF(D130*E130&gt;50,"I","")
            )
        )
    ),
    IF(ISERROR(SEARCH("valvola di sicurezza",A130))=FALSE,"IV","")
)</f>
        <v>III</v>
      </c>
    </row>
    <row r="131" spans="1:7" x14ac:dyDescent="0.3">
      <c r="A131" t="s">
        <v>33</v>
      </c>
      <c r="B131" t="s">
        <v>64</v>
      </c>
      <c r="C131" s="2" t="s">
        <v>37</v>
      </c>
      <c r="D131" s="1">
        <v>75</v>
      </c>
      <c r="E131" s="1">
        <v>16</v>
      </c>
      <c r="F131" s="3" t="s">
        <v>10</v>
      </c>
      <c r="G131" s="1" t="str">
        <f>IF(OR(ISERROR(SEARCH("recipiente",A131))=FALSE, ISERROR(SEARCH("serbatoio",A131))=FALSE, ISERROR(SEARCH("scambiatore",A131))=FALSE),
    IF(D131*E131&gt;3000,"IV",
        IF(D131*E131&gt;1000,"III",
            IF(D131*E131&gt;200,"II",
                IF(D131*E131&gt;50,"I","")
            )
        )
    ),
    IF(ISERROR(SEARCH("valvola di sicurezza",A131))=FALSE,"IV","")
)</f>
        <v>III</v>
      </c>
    </row>
    <row r="132" spans="1:7" x14ac:dyDescent="0.3">
      <c r="A132" t="s">
        <v>33</v>
      </c>
      <c r="B132" t="s">
        <v>64</v>
      </c>
      <c r="C132" s="2" t="s">
        <v>38</v>
      </c>
      <c r="D132" s="1">
        <v>125</v>
      </c>
      <c r="E132" s="1">
        <v>16</v>
      </c>
      <c r="F132" s="3" t="s">
        <v>10</v>
      </c>
      <c r="G132" s="1" t="str">
        <f>IF(OR(ISERROR(SEARCH("recipiente",A132))=FALSE, ISERROR(SEARCH("serbatoio",A132))=FALSE, ISERROR(SEARCH("scambiatore",A132))=FALSE),
    IF(D132*E132&gt;3000,"IV",
        IF(D132*E132&gt;1000,"III",
            IF(D132*E132&gt;200,"II",
                IF(D132*E132&gt;50,"I","")
            )
        )
    ),
    IF(ISERROR(SEARCH("valvola di sicurezza",A132))=FALSE,"IV","")
)</f>
        <v>III</v>
      </c>
    </row>
    <row r="133" spans="1:7" x14ac:dyDescent="0.3">
      <c r="A133" t="s">
        <v>33</v>
      </c>
      <c r="B133" t="s">
        <v>64</v>
      </c>
      <c r="C133" s="2" t="s">
        <v>39</v>
      </c>
      <c r="D133" s="1">
        <v>30</v>
      </c>
      <c r="E133" s="1">
        <v>16</v>
      </c>
      <c r="F133" s="3" t="s">
        <v>10</v>
      </c>
      <c r="G133" s="1" t="str">
        <f>IF(OR(ISERROR(SEARCH("recipiente",A133))=FALSE, ISERROR(SEARCH("serbatoio",A133))=FALSE, ISERROR(SEARCH("scambiatore",A133))=FALSE),
    IF(D133*E133&gt;3000,"IV",
        IF(D133*E133&gt;1000,"III",
            IF(D133*E133&gt;200,"II",
                IF(D133*E133&gt;50,"I","")
            )
        )
    ),
    IF(ISERROR(SEARCH("valvola di sicurezza",A133))=FALSE,"IV","")
)</f>
        <v>II</v>
      </c>
    </row>
    <row r="134" spans="1:7" x14ac:dyDescent="0.3">
      <c r="A134" t="s">
        <v>33</v>
      </c>
      <c r="B134" t="s">
        <v>64</v>
      </c>
      <c r="C134" s="2" t="s">
        <v>40</v>
      </c>
      <c r="D134" s="1">
        <v>65</v>
      </c>
      <c r="E134" s="1">
        <v>16</v>
      </c>
      <c r="F134" s="3" t="s">
        <v>10</v>
      </c>
      <c r="G134" s="1" t="str">
        <f>IF(OR(ISERROR(SEARCH("recipiente",A134))=FALSE, ISERROR(SEARCH("serbatoio",A134))=FALSE, ISERROR(SEARCH("scambiatore",A134))=FALSE),
    IF(D134*E134&gt;3000,"IV",
        IF(D134*E134&gt;1000,"III",
            IF(D134*E134&gt;200,"II",
                IF(D134*E134&gt;50,"I","")
            )
        )
    ),
    IF(ISERROR(SEARCH("valvola di sicurezza",A134))=FALSE,"IV","")
)</f>
        <v>III</v>
      </c>
    </row>
    <row r="135" spans="1:7" x14ac:dyDescent="0.3">
      <c r="A135" t="s">
        <v>33</v>
      </c>
      <c r="B135" t="s">
        <v>64</v>
      </c>
      <c r="C135" s="2" t="s">
        <v>41</v>
      </c>
      <c r="D135" s="1">
        <v>55</v>
      </c>
      <c r="E135" s="1">
        <v>16</v>
      </c>
      <c r="F135" s="3" t="s">
        <v>10</v>
      </c>
      <c r="G135" s="1" t="str">
        <f>IF(OR(ISERROR(SEARCH("recipiente",A135))=FALSE, ISERROR(SEARCH("serbatoio",A135))=FALSE, ISERROR(SEARCH("scambiatore",A135))=FALSE),
    IF(D135*E135&gt;3000,"IV",
        IF(D135*E135&gt;1000,"III",
            IF(D135*E135&gt;200,"II",
                IF(D135*E135&gt;50,"I","")
            )
        )
    ),
    IF(ISERROR(SEARCH("valvola di sicurezza",A135))=FALSE,"IV","")
)</f>
        <v>II</v>
      </c>
    </row>
    <row r="136" spans="1:7" x14ac:dyDescent="0.3">
      <c r="A136" t="s">
        <v>33</v>
      </c>
      <c r="B136" t="s">
        <v>64</v>
      </c>
      <c r="C136" s="2" t="s">
        <v>42</v>
      </c>
      <c r="D136" s="1">
        <v>55</v>
      </c>
      <c r="E136" s="1">
        <v>16</v>
      </c>
      <c r="F136" s="3" t="s">
        <v>10</v>
      </c>
      <c r="G136" s="1" t="str">
        <f>IF(OR(ISERROR(SEARCH("recipiente",A136))=FALSE, ISERROR(SEARCH("serbatoio",A136))=FALSE, ISERROR(SEARCH("scambiatore",A136))=FALSE),
    IF(D136*E136&gt;3000,"IV",
        IF(D136*E136&gt;1000,"III",
            IF(D136*E136&gt;200,"II",
                IF(D136*E136&gt;50,"I","")
            )
        )
    ),
    IF(ISERROR(SEARCH("valvola di sicurezza",A136))=FALSE,"IV","")
)</f>
        <v>II</v>
      </c>
    </row>
    <row r="137" spans="1:7" x14ac:dyDescent="0.3">
      <c r="A137" t="s">
        <v>33</v>
      </c>
      <c r="B137" t="s">
        <v>64</v>
      </c>
      <c r="C137" s="2" t="s">
        <v>43</v>
      </c>
      <c r="D137" s="1">
        <v>125</v>
      </c>
      <c r="E137" s="1">
        <v>16</v>
      </c>
      <c r="F137" s="3" t="s">
        <v>10</v>
      </c>
      <c r="G137" s="1" t="str">
        <f>IF(OR(ISERROR(SEARCH("recipiente",A137))=FALSE, ISERROR(SEARCH("serbatoio",A137))=FALSE, ISERROR(SEARCH("scambiatore",A137))=FALSE),
    IF(D137*E137&gt;3000,"IV",
        IF(D137*E137&gt;1000,"III",
            IF(D137*E137&gt;200,"II",
                IF(D137*E137&gt;50,"I","")
            )
        )
    ),
    IF(ISERROR(SEARCH("valvola di sicurezza",A137))=FALSE,"IV","")
)</f>
        <v>III</v>
      </c>
    </row>
    <row r="138" spans="1:7" x14ac:dyDescent="0.3">
      <c r="A138" t="s">
        <v>33</v>
      </c>
      <c r="B138" t="s">
        <v>64</v>
      </c>
      <c r="C138" s="2" t="s">
        <v>44</v>
      </c>
      <c r="D138" s="1">
        <v>12</v>
      </c>
      <c r="E138" s="1">
        <v>16</v>
      </c>
      <c r="F138" s="3" t="s">
        <v>10</v>
      </c>
      <c r="G138" s="1" t="str">
        <f>IF(OR(ISERROR(SEARCH("recipiente",A138))=FALSE, ISERROR(SEARCH("serbatoio",A138))=FALSE, ISERROR(SEARCH("scambiatore",A138))=FALSE),
    IF(D138*E138&gt;3000,"IV",
        IF(D138*E138&gt;1000,"III",
            IF(D138*E138&gt;200,"II",
                IF(D138*E138&gt;50,"I","")
            )
        )
    ),
    IF(ISERROR(SEARCH("valvola di sicurezza",A138))=FALSE,"IV","")
)</f>
        <v>I</v>
      </c>
    </row>
    <row r="139" spans="1:7" x14ac:dyDescent="0.3">
      <c r="A139" t="s">
        <v>33</v>
      </c>
      <c r="B139" t="s">
        <v>64</v>
      </c>
      <c r="C139" s="2" t="s">
        <v>45</v>
      </c>
      <c r="D139" s="1">
        <v>55</v>
      </c>
      <c r="E139" s="1">
        <v>15</v>
      </c>
      <c r="F139" s="3" t="s">
        <v>10</v>
      </c>
      <c r="G139" s="1" t="str">
        <f>IF(OR(ISERROR(SEARCH("recipiente",A139))=FALSE, ISERROR(SEARCH("serbatoio",A139))=FALSE, ISERROR(SEARCH("scambiatore",A139))=FALSE),
    IF(D139*E139&gt;3000,"IV",
        IF(D139*E139&gt;1000,"III",
            IF(D139*E139&gt;200,"II",
                IF(D139*E139&gt;50,"I","")
            )
        )
    ),
    IF(ISERROR(SEARCH("valvola di sicurezza",A139))=FALSE,"IV","")
)</f>
        <v>II</v>
      </c>
    </row>
    <row r="140" spans="1:7" x14ac:dyDescent="0.3">
      <c r="A140" t="s">
        <v>33</v>
      </c>
      <c r="B140" t="s">
        <v>64</v>
      </c>
      <c r="C140" s="2" t="s">
        <v>46</v>
      </c>
      <c r="D140" s="1">
        <v>75</v>
      </c>
      <c r="E140" s="1">
        <v>16</v>
      </c>
      <c r="F140" s="3" t="s">
        <v>10</v>
      </c>
      <c r="G140" s="1" t="str">
        <f>IF(OR(ISERROR(SEARCH("recipiente",A140))=FALSE, ISERROR(SEARCH("serbatoio",A140))=FALSE, ISERROR(SEARCH("scambiatore",A140))=FALSE),
    IF(D140*E140&gt;3000,"IV",
        IF(D140*E140&gt;1000,"III",
            IF(D140*E140&gt;200,"II",
                IF(D140*E140&gt;50,"I","")
            )
        )
    ),
    IF(ISERROR(SEARCH("valvola di sicurezza",A140))=FALSE,"IV","")
)</f>
        <v>III</v>
      </c>
    </row>
    <row r="141" spans="1:7" x14ac:dyDescent="0.3">
      <c r="A141" t="s">
        <v>33</v>
      </c>
      <c r="B141" t="s">
        <v>64</v>
      </c>
      <c r="C141" s="2" t="s">
        <v>47</v>
      </c>
      <c r="D141" s="1">
        <v>30</v>
      </c>
      <c r="E141" s="1">
        <v>16</v>
      </c>
      <c r="F141" s="3" t="s">
        <v>10</v>
      </c>
      <c r="G141" s="1" t="str">
        <f>IF(OR(ISERROR(SEARCH("recipiente",A141))=FALSE, ISERROR(SEARCH("serbatoio",A141))=FALSE, ISERROR(SEARCH("scambiatore",A141))=FALSE),
    IF(D141*E141&gt;3000,"IV",
        IF(D141*E141&gt;1000,"III",
            IF(D141*E141&gt;200,"II",
                IF(D141*E141&gt;50,"I","")
            )
        )
    ),
    IF(ISERROR(SEARCH("valvola di sicurezza",A141))=FALSE,"IV","")
)</f>
        <v>II</v>
      </c>
    </row>
    <row r="142" spans="1:7" x14ac:dyDescent="0.3">
      <c r="A142" t="s">
        <v>33</v>
      </c>
      <c r="B142" t="s">
        <v>64</v>
      </c>
      <c r="C142" s="2" t="s">
        <v>48</v>
      </c>
      <c r="D142" s="1">
        <v>41</v>
      </c>
      <c r="E142" s="1">
        <v>14.5</v>
      </c>
      <c r="F142" s="3" t="s">
        <v>10</v>
      </c>
      <c r="G142" s="1" t="str">
        <f>IF(OR(ISERROR(SEARCH("recipiente",A142))=FALSE, ISERROR(SEARCH("serbatoio",A142))=FALSE, ISERROR(SEARCH("scambiatore",A142))=FALSE),
    IF(D142*E142&gt;3000,"IV",
        IF(D142*E142&gt;1000,"III",
            IF(D142*E142&gt;200,"II",
                IF(D142*E142&gt;50,"I","")
            )
        )
    ),
    IF(ISERROR(SEARCH("valvola di sicurezza",A142))=FALSE,"IV","")
)</f>
        <v>II</v>
      </c>
    </row>
    <row r="143" spans="1:7" x14ac:dyDescent="0.3">
      <c r="A143" t="s">
        <v>33</v>
      </c>
      <c r="B143" t="s">
        <v>64</v>
      </c>
      <c r="C143" s="2" t="s">
        <v>49</v>
      </c>
      <c r="D143" s="1">
        <v>50</v>
      </c>
      <c r="E143" s="1">
        <v>15</v>
      </c>
      <c r="F143" s="3" t="s">
        <v>10</v>
      </c>
      <c r="G143" s="1" t="str">
        <f>IF(OR(ISERROR(SEARCH("recipiente",A143))=FALSE, ISERROR(SEARCH("serbatoio",A143))=FALSE, ISERROR(SEARCH("scambiatore",A143))=FALSE),
    IF(D143*E143&gt;3000,"IV",
        IF(D143*E143&gt;1000,"III",
            IF(D143*E143&gt;200,"II",
                IF(D143*E143&gt;50,"I","")
            )
        )
    ),
    IF(ISERROR(SEARCH("valvola di sicurezza",A143))=FALSE,"IV","")
)</f>
        <v>II</v>
      </c>
    </row>
    <row r="144" spans="1:7" x14ac:dyDescent="0.3">
      <c r="A144" t="s">
        <v>33</v>
      </c>
      <c r="B144" t="s">
        <v>64</v>
      </c>
      <c r="C144" s="2" t="s">
        <v>50</v>
      </c>
      <c r="D144" s="1">
        <v>63</v>
      </c>
      <c r="E144" s="1">
        <v>15</v>
      </c>
      <c r="F144" s="3" t="s">
        <v>10</v>
      </c>
      <c r="G144" s="1" t="str">
        <f>IF(OR(ISERROR(SEARCH("recipiente",A144))=FALSE, ISERROR(SEARCH("serbatoio",A144))=FALSE, ISERROR(SEARCH("scambiatore",A144))=FALSE),
    IF(D144*E144&gt;3000,"IV",
        IF(D144*E144&gt;1000,"III",
            IF(D144*E144&gt;200,"II",
                IF(D144*E144&gt;50,"I","")
            )
        )
    ),
    IF(ISERROR(SEARCH("valvola di sicurezza",A144))=FALSE,"IV","")
)</f>
        <v>II</v>
      </c>
    </row>
    <row r="145" spans="1:7" x14ac:dyDescent="0.3">
      <c r="A145" t="s">
        <v>33</v>
      </c>
      <c r="B145" t="s">
        <v>64</v>
      </c>
      <c r="C145" s="2" t="s">
        <v>51</v>
      </c>
      <c r="D145" s="1">
        <v>41</v>
      </c>
      <c r="E145" s="1">
        <v>15</v>
      </c>
      <c r="F145" s="3" t="s">
        <v>10</v>
      </c>
      <c r="G145" s="1" t="str">
        <f>IF(OR(ISERROR(SEARCH("recipiente",A145))=FALSE, ISERROR(SEARCH("serbatoio",A145))=FALSE, ISERROR(SEARCH("scambiatore",A145))=FALSE),
    IF(D145*E145&gt;3000,"IV",
        IF(D145*E145&gt;1000,"III",
            IF(D145*E145&gt;200,"II",
                IF(D145*E145&gt;50,"I","")
            )
        )
    ),
    IF(ISERROR(SEARCH("valvola di sicurezza",A145))=FALSE,"IV","")
)</f>
        <v>II</v>
      </c>
    </row>
    <row r="146" spans="1:7" x14ac:dyDescent="0.3">
      <c r="A146" t="s">
        <v>33</v>
      </c>
      <c r="B146" t="s">
        <v>64</v>
      </c>
      <c r="C146" s="2" t="s">
        <v>52</v>
      </c>
      <c r="D146" s="1">
        <v>55</v>
      </c>
      <c r="E146" s="1">
        <v>15</v>
      </c>
      <c r="F146" s="3" t="s">
        <v>10</v>
      </c>
      <c r="G146" s="1" t="str">
        <f>IF(OR(ISERROR(SEARCH("recipiente",A146))=FALSE, ISERROR(SEARCH("serbatoio",A146))=FALSE, ISERROR(SEARCH("scambiatore",A146))=FALSE),
    IF(D146*E146&gt;3000,"IV",
        IF(D146*E146&gt;1000,"III",
            IF(D146*E146&gt;200,"II",
                IF(D146*E146&gt;50,"I","")
            )
        )
    ),
    IF(ISERROR(SEARCH("valvola di sicurezza",A146))=FALSE,"IV","")
)</f>
        <v>II</v>
      </c>
    </row>
    <row r="147" spans="1:7" x14ac:dyDescent="0.3">
      <c r="A147" t="s">
        <v>33</v>
      </c>
      <c r="B147" t="s">
        <v>64</v>
      </c>
      <c r="C147" s="2" t="s">
        <v>53</v>
      </c>
      <c r="D147" s="1">
        <v>26</v>
      </c>
      <c r="E147" s="1">
        <v>15</v>
      </c>
      <c r="F147" s="3" t="s">
        <v>10</v>
      </c>
      <c r="G147" s="1" t="str">
        <f>IF(OR(ISERROR(SEARCH("recipiente",A147))=FALSE, ISERROR(SEARCH("serbatoio",A147))=FALSE, ISERROR(SEARCH("scambiatore",A147))=FALSE),
    IF(D147*E147&gt;3000,"IV",
        IF(D147*E147&gt;1000,"III",
            IF(D147*E147&gt;200,"II",
                IF(D147*E147&gt;50,"I","")
            )
        )
    ),
    IF(ISERROR(SEARCH("valvola di sicurezza",A147))=FALSE,"IV","")
)</f>
        <v>II</v>
      </c>
    </row>
    <row r="148" spans="1:7" x14ac:dyDescent="0.3">
      <c r="A148" t="s">
        <v>33</v>
      </c>
      <c r="B148" t="s">
        <v>64</v>
      </c>
      <c r="C148" s="2" t="s">
        <v>54</v>
      </c>
      <c r="D148" s="1">
        <v>25</v>
      </c>
      <c r="E148" s="1">
        <v>15</v>
      </c>
      <c r="F148" s="3" t="s">
        <v>10</v>
      </c>
      <c r="G148" s="1" t="str">
        <f>IF(OR(ISERROR(SEARCH("recipiente",A148))=FALSE, ISERROR(SEARCH("serbatoio",A148))=FALSE, ISERROR(SEARCH("scambiatore",A148))=FALSE),
    IF(D148*E148&gt;3000,"IV",
        IF(D148*E148&gt;1000,"III",
            IF(D148*E148&gt;200,"II",
                IF(D148*E148&gt;50,"I","")
            )
        )
    ),
    IF(ISERROR(SEARCH("valvola di sicurezza",A148))=FALSE,"IV","")
)</f>
        <v>II</v>
      </c>
    </row>
    <row r="149" spans="1:7" x14ac:dyDescent="0.3">
      <c r="A149" t="s">
        <v>33</v>
      </c>
      <c r="B149" t="s">
        <v>64</v>
      </c>
      <c r="C149" s="2" t="s">
        <v>55</v>
      </c>
      <c r="D149" s="1">
        <v>30</v>
      </c>
      <c r="E149" s="1">
        <v>15</v>
      </c>
      <c r="F149" s="3" t="s">
        <v>10</v>
      </c>
      <c r="G149" s="1" t="str">
        <f>IF(OR(ISERROR(SEARCH("recipiente",A149))=FALSE, ISERROR(SEARCH("serbatoio",A149))=FALSE, ISERROR(SEARCH("scambiatore",A149))=FALSE),
    IF(D149*E149&gt;3000,"IV",
        IF(D149*E149&gt;1000,"III",
            IF(D149*E149&gt;200,"II",
                IF(D149*E149&gt;50,"I","")
            )
        )
    ),
    IF(ISERROR(SEARCH("valvola di sicurezza",A149))=FALSE,"IV","")
)</f>
        <v>II</v>
      </c>
    </row>
    <row r="150" spans="1:7" x14ac:dyDescent="0.3">
      <c r="A150" t="s">
        <v>33</v>
      </c>
      <c r="B150" t="s">
        <v>64</v>
      </c>
      <c r="C150" s="2" t="s">
        <v>56</v>
      </c>
      <c r="D150" s="1">
        <v>185</v>
      </c>
      <c r="E150" s="1">
        <v>16</v>
      </c>
      <c r="F150" s="3" t="s">
        <v>10</v>
      </c>
      <c r="G150" s="1" t="str">
        <f>IF(OR(ISERROR(SEARCH("recipiente",A150))=FALSE, ISERROR(SEARCH("serbatoio",A150))=FALSE, ISERROR(SEARCH("scambiatore",A150))=FALSE),
    IF(D150*E150&gt;3000,"IV",
        IF(D150*E150&gt;1000,"III",
            IF(D150*E150&gt;200,"II",
                IF(D150*E150&gt;50,"I","")
            )
        )
    ),
    IF(ISERROR(SEARCH("valvola di sicurezza",A150))=FALSE,"IV","")
)</f>
        <v>III</v>
      </c>
    </row>
    <row r="151" spans="1:7" x14ac:dyDescent="0.3">
      <c r="A151" t="s">
        <v>33</v>
      </c>
      <c r="B151" t="s">
        <v>64</v>
      </c>
      <c r="C151" s="2" t="s">
        <v>57</v>
      </c>
      <c r="D151" s="1">
        <v>100</v>
      </c>
      <c r="E151" s="1">
        <v>16</v>
      </c>
      <c r="F151" s="3" t="s">
        <v>58</v>
      </c>
      <c r="G151" s="1" t="str">
        <f>IF(OR(ISERROR(SEARCH("recipiente",A151))=FALSE, ISERROR(SEARCH("serbatoio",A151))=FALSE, ISERROR(SEARCH("scambiatore",A151))=FALSE),
    IF(D151*E151&gt;3000,"IV",
        IF(D151*E151&gt;1000,"III",
            IF(D151*E151&gt;200,"II",
                IF(D151*E151&gt;50,"I","")
            )
        )
    ),
    IF(ISERROR(SEARCH("valvola di sicurezza",A151))=FALSE,"IV","")
)</f>
        <v>III</v>
      </c>
    </row>
    <row r="152" spans="1:7" x14ac:dyDescent="0.3">
      <c r="A152" t="s">
        <v>33</v>
      </c>
      <c r="B152" t="s">
        <v>64</v>
      </c>
      <c r="C152" s="2" t="s">
        <v>59</v>
      </c>
      <c r="D152" s="1">
        <v>28</v>
      </c>
      <c r="E152" s="1">
        <v>15</v>
      </c>
      <c r="F152" s="3" t="s">
        <v>10</v>
      </c>
      <c r="G152" s="1" t="str">
        <f>IF(OR(ISERROR(SEARCH("recipiente",A152))=FALSE, ISERROR(SEARCH("serbatoio",A152))=FALSE, ISERROR(SEARCH("scambiatore",A152))=FALSE),
    IF(D152*E152&gt;3000,"IV",
        IF(D152*E152&gt;1000,"III",
            IF(D152*E152&gt;200,"II",
                IF(D152*E152&gt;50,"I","")
            )
        )
    ),
    IF(ISERROR(SEARCH("valvola di sicurezza",A152))=FALSE,"IV","")
)</f>
        <v>II</v>
      </c>
    </row>
    <row r="153" spans="1:7" x14ac:dyDescent="0.3">
      <c r="A153" t="s">
        <v>33</v>
      </c>
      <c r="B153" t="s">
        <v>64</v>
      </c>
      <c r="C153" s="2" t="s">
        <v>60</v>
      </c>
      <c r="D153" s="1">
        <v>28</v>
      </c>
      <c r="E153" s="1">
        <v>15</v>
      </c>
      <c r="F153" s="3" t="s">
        <v>10</v>
      </c>
      <c r="G153" s="1" t="str">
        <f>IF(OR(ISERROR(SEARCH("recipiente",A153))=FALSE, ISERROR(SEARCH("serbatoio",A153))=FALSE, ISERROR(SEARCH("scambiatore",A153))=FALSE),
    IF(D153*E153&gt;3000,"IV",
        IF(D153*E153&gt;1000,"III",
            IF(D153*E153&gt;200,"II",
                IF(D153*E153&gt;50,"I","")
            )
        )
    ),
    IF(ISERROR(SEARCH("valvola di sicurezza",A153))=FALSE,"IV","")
)</f>
        <v>II</v>
      </c>
    </row>
    <row r="154" spans="1:7" x14ac:dyDescent="0.3">
      <c r="A154" t="s">
        <v>33</v>
      </c>
      <c r="B154" t="s">
        <v>64</v>
      </c>
      <c r="C154" s="2" t="s">
        <v>61</v>
      </c>
      <c r="D154" s="1">
        <v>55</v>
      </c>
      <c r="E154" s="1">
        <v>15</v>
      </c>
      <c r="F154" s="3" t="s">
        <v>10</v>
      </c>
      <c r="G154" s="1" t="str">
        <f>IF(OR(ISERROR(SEARCH("recipiente",A154))=FALSE, ISERROR(SEARCH("serbatoio",A154))=FALSE, ISERROR(SEARCH("scambiatore",A154))=FALSE),
    IF(D154*E154&gt;3000,"IV",
        IF(D154*E154&gt;1000,"III",
            IF(D154*E154&gt;200,"II",
                IF(D154*E154&gt;50,"I","")
            )
        )
    ),
    IF(ISERROR(SEARCH("valvola di sicurezza",A154))=FALSE,"IV","")
)</f>
        <v>II</v>
      </c>
    </row>
    <row r="155" spans="1:7" x14ac:dyDescent="0.3">
      <c r="A155" t="s">
        <v>33</v>
      </c>
      <c r="B155" t="s">
        <v>64</v>
      </c>
      <c r="C155" s="2">
        <v>3080</v>
      </c>
      <c r="D155" s="1">
        <v>80</v>
      </c>
      <c r="E155" s="1">
        <v>16</v>
      </c>
      <c r="F155" s="3" t="s">
        <v>10</v>
      </c>
      <c r="G155" s="1" t="str">
        <f>IF(OR(ISERROR(SEARCH("recipiente",A155))=FALSE, ISERROR(SEARCH("serbatoio",A155))=FALSE, ISERROR(SEARCH("scambiatore",A155))=FALSE),
    IF(D155*E155&gt;3000,"IV",
        IF(D155*E155&gt;1000,"III",
            IF(D155*E155&gt;200,"II",
                IF(D155*E155&gt;50,"I","")
            )
        )
    ),
    IF(ISERROR(SEARCH("valvola di sicurezza",A155))=FALSE,"IV","")
)</f>
        <v>III</v>
      </c>
    </row>
    <row r="156" spans="1:7" x14ac:dyDescent="0.3">
      <c r="A156" t="s">
        <v>33</v>
      </c>
      <c r="B156" t="s">
        <v>64</v>
      </c>
      <c r="C156" s="2" t="s">
        <v>991</v>
      </c>
      <c r="D156" s="1">
        <v>38</v>
      </c>
      <c r="E156" s="1">
        <v>14</v>
      </c>
      <c r="F156" s="3" t="s">
        <v>10</v>
      </c>
      <c r="G156" s="1" t="str">
        <f>IF(OR(ISERROR(SEARCH("recipiente",A156))=FALSE, ISERROR(SEARCH("serbatoio",A156))=FALSE, ISERROR(SEARCH("scambiatore",A156))=FALSE),
    IF(D156*E156&gt;3000,"IV",
        IF(D156*E156&gt;1000,"III",
            IF(D156*E156&gt;200,"II",
                IF(D156*E156&gt;50,"I","")
            )
        )
    ),
    IF(ISERROR(SEARCH("valvola di sicurezza",A156))=FALSE,"IV","")
)</f>
        <v>II</v>
      </c>
    </row>
    <row r="157" spans="1:7" x14ac:dyDescent="0.3">
      <c r="A157" t="s">
        <v>7</v>
      </c>
      <c r="B157" t="s">
        <v>64</v>
      </c>
      <c r="C157" s="2" t="s">
        <v>57</v>
      </c>
      <c r="D157" s="1">
        <v>100</v>
      </c>
      <c r="E157" s="1">
        <v>16</v>
      </c>
      <c r="F157" s="3" t="s">
        <v>58</v>
      </c>
      <c r="G157" s="1" t="str">
        <f>IF(OR(ISERROR(SEARCH("recipiente",A157))=FALSE, ISERROR(SEARCH("serbatoio",A157))=FALSE, ISERROR(SEARCH("scambiatore",A157))=FALSE),
    IF(D157*E157&gt;3000,"IV",
        IF(D157*E157&gt;1000,"III",
            IF(D157*E157&gt;200,"II",
                IF(D157*E157&gt;50,"I","")
            )
        )
    ),
    IF(ISERROR(SEARCH("valvola di sicurezza",A157))=FALSE,"IV","")
)</f>
        <v>III</v>
      </c>
    </row>
    <row r="158" spans="1:7" x14ac:dyDescent="0.3">
      <c r="A158" t="s">
        <v>70</v>
      </c>
      <c r="B158" t="s">
        <v>992</v>
      </c>
      <c r="C158" s="2" t="s">
        <v>993</v>
      </c>
      <c r="D158" s="1">
        <v>7690</v>
      </c>
      <c r="E158" s="1">
        <v>10.8</v>
      </c>
      <c r="F158" s="3" t="s">
        <v>20</v>
      </c>
      <c r="G158" s="1" t="str">
        <f>IF(OR(ISERROR(SEARCH("recipiente",A158))=FALSE, ISERROR(SEARCH("serbatoio",A158))=FALSE, ISERROR(SEARCH("scambiatore",A158))=FALSE),
    IF(D158*E158&gt;3000,"IV",
        IF(D158*E158&gt;1000,"III",
            IF(D158*E158&gt;200,"II",
                IF(D158*E158&gt;50,"I","")
            )
        )
    ),
    IF(ISERROR(SEARCH("valvola di sicurezza",A158))=FALSE,"IV","")
)</f>
        <v>IV</v>
      </c>
    </row>
    <row r="159" spans="1:7" x14ac:dyDescent="0.3">
      <c r="A159" t="s">
        <v>65</v>
      </c>
      <c r="B159" t="s">
        <v>66</v>
      </c>
      <c r="C159" s="2" t="s">
        <v>67</v>
      </c>
      <c r="D159" s="1">
        <v>485</v>
      </c>
      <c r="E159" s="1">
        <v>10</v>
      </c>
      <c r="F159" s="5"/>
      <c r="G159" s="1" t="str">
        <f>IF(OR(ISERROR(SEARCH("recipiente",A159))=FALSE, ISERROR(SEARCH("serbatoio",A159))=FALSE, ISERROR(SEARCH("scambiatore",A159))=FALSE),
    IF(D159*E159&gt;3000,"IV",
        IF(D159*E159&gt;1000,"III",
            IF(D159*E159&gt;200,"II",
                IF(D159*E159&gt;50,"I","")
            )
        )
    ),
    IF(ISERROR(SEARCH("valvola di sicurezza",A159))=FALSE,"IV","")
)</f>
        <v/>
      </c>
    </row>
    <row r="160" spans="1:7" x14ac:dyDescent="0.3">
      <c r="A160" t="s">
        <v>65</v>
      </c>
      <c r="B160" t="s">
        <v>68</v>
      </c>
      <c r="C160" s="2" t="s">
        <v>69</v>
      </c>
      <c r="D160" s="1">
        <v>6000</v>
      </c>
      <c r="E160" s="1">
        <v>13</v>
      </c>
      <c r="F160" s="5"/>
      <c r="G160" s="1" t="str">
        <f>IF(OR(ISERROR(SEARCH("recipiente",A160))=FALSE, ISERROR(SEARCH("serbatoio",A160))=FALSE, ISERROR(SEARCH("scambiatore",A160))=FALSE),
    IF(D160*E160&gt;3000,"IV",
        IF(D160*E160&gt;1000,"III",
            IF(D160*E160&gt;200,"II",
                IF(D160*E160&gt;50,"I","")
            )
        )
    ),
    IF(ISERROR(SEARCH("valvola di sicurezza",A160))=FALSE,"IV","")
)</f>
        <v/>
      </c>
    </row>
    <row r="161" spans="1:7" x14ac:dyDescent="0.3">
      <c r="A161" t="s">
        <v>70</v>
      </c>
      <c r="B161" t="s">
        <v>71</v>
      </c>
      <c r="C161" s="2" t="s">
        <v>72</v>
      </c>
      <c r="D161" s="1">
        <f>_xlfn.FLOOR.MATH(431*1000/60)</f>
        <v>7183</v>
      </c>
      <c r="E161" s="1">
        <v>9</v>
      </c>
      <c r="F161" s="3" t="s">
        <v>73</v>
      </c>
      <c r="G161" s="1" t="str">
        <f>IF(OR(ISERROR(SEARCH("recipiente",A161))=FALSE, ISERROR(SEARCH("serbatoio",A161))=FALSE, ISERROR(SEARCH("scambiatore",A161))=FALSE),
    IF(#REF!*E161&gt;3000,"IV",
        IF(#REF!*E161&gt;1000,"III",
            IF(#REF!*E161&gt;200,"II",
                IF(#REF!*E161&gt;50,"I","")
            )
        )
    ),
    IF(ISERROR(SEARCH("valvola di sicurezza",A161))=FALSE,"IV","")
)</f>
        <v>IV</v>
      </c>
    </row>
    <row r="162" spans="1:7" x14ac:dyDescent="0.3">
      <c r="A162" t="s">
        <v>70</v>
      </c>
      <c r="B162" t="s">
        <v>71</v>
      </c>
      <c r="C162" s="2" t="s">
        <v>74</v>
      </c>
      <c r="D162" s="1">
        <f>507*1000/60</f>
        <v>8450</v>
      </c>
      <c r="E162" s="1">
        <v>10</v>
      </c>
      <c r="F162" s="3" t="s">
        <v>75</v>
      </c>
      <c r="G162" s="1" t="str">
        <f>IF(OR(ISERROR(SEARCH("recipiente",A162))=FALSE, ISERROR(SEARCH("serbatoio",A162))=FALSE, ISERROR(SEARCH("scambiatore",A162))=FALSE),
    IF(#REF!*E162&gt;3000,"IV",
        IF(#REF!*E162&gt;1000,"III",
            IF(#REF!*E162&gt;200,"II",
                IF(#REF!*E162&gt;50,"I","")
            )
        )
    ),
    IF(ISERROR(SEARCH("valvola di sicurezza",A162))=FALSE,"IV","")
)</f>
        <v>IV</v>
      </c>
    </row>
    <row r="163" spans="1:7" x14ac:dyDescent="0.3">
      <c r="A163" t="s">
        <v>70</v>
      </c>
      <c r="B163" t="s">
        <v>71</v>
      </c>
      <c r="C163" s="2" t="s">
        <v>76</v>
      </c>
      <c r="D163" s="1">
        <f>693*1000/60</f>
        <v>11550</v>
      </c>
      <c r="E163" s="1">
        <v>14</v>
      </c>
      <c r="F163" s="3" t="s">
        <v>75</v>
      </c>
      <c r="G163" s="1" t="str">
        <f>IF(OR(ISERROR(SEARCH("recipiente",A163))=FALSE, ISERROR(SEARCH("serbatoio",A163))=FALSE, ISERROR(SEARCH("scambiatore",A163))=FALSE),
    IF(#REF!*E163&gt;3000,"IV",
        IF(#REF!*E163&gt;1000,"III",
            IF(#REF!*E163&gt;200,"II",
                IF(#REF!*E163&gt;50,"I","")
            )
        )
    ),
    IF(ISERROR(SEARCH("valvola di sicurezza",A163))=FALSE,"IV","")
)</f>
        <v>IV</v>
      </c>
    </row>
    <row r="164" spans="1:7" x14ac:dyDescent="0.3">
      <c r="A164" t="s">
        <v>70</v>
      </c>
      <c r="B164" t="s">
        <v>71</v>
      </c>
      <c r="C164" s="2" t="s">
        <v>77</v>
      </c>
      <c r="D164" s="1">
        <f>615*1000/60</f>
        <v>10250</v>
      </c>
      <c r="E164" s="1">
        <v>10</v>
      </c>
      <c r="F164" s="3" t="s">
        <v>75</v>
      </c>
      <c r="G164" s="1" t="str">
        <f>IF(OR(ISERROR(SEARCH("recipiente",A164))=FALSE, ISERROR(SEARCH("serbatoio",A164))=FALSE, ISERROR(SEARCH("scambiatore",A164))=FALSE),
    IF(#REF!*E164&gt;3000,"IV",
        IF(#REF!*E164&gt;1000,"III",
            IF(#REF!*E164&gt;200,"II",
                IF(#REF!*E164&gt;50,"I","")
            )
        )
    ),
    IF(ISERROR(SEARCH("valvola di sicurezza",A164))=FALSE,"IV","")
)</f>
        <v>IV</v>
      </c>
    </row>
    <row r="165" spans="1:7" x14ac:dyDescent="0.3">
      <c r="A165" t="s">
        <v>70</v>
      </c>
      <c r="B165" t="s">
        <v>71</v>
      </c>
      <c r="C165" s="2" t="s">
        <v>78</v>
      </c>
      <c r="D165" s="1">
        <v>14150</v>
      </c>
      <c r="E165" s="1">
        <v>14</v>
      </c>
      <c r="F165" s="3" t="s">
        <v>75</v>
      </c>
      <c r="G165" s="1" t="str">
        <f>IF(OR(ISERROR(SEARCH("recipiente",A165))=FALSE, ISERROR(SEARCH("serbatoio",A165))=FALSE, ISERROR(SEARCH("scambiatore",A165))=FALSE),
    IF(#REF!*E165&gt;3000,"IV",
        IF(#REF!*E165&gt;1000,"III",
            IF(#REF!*E165&gt;200,"II",
                IF(#REF!*E165&gt;50,"I","")
            )
        )
    ),
    IF(ISERROR(SEARCH("valvola di sicurezza",A165))=FALSE,"IV","")
)</f>
        <v>IV</v>
      </c>
    </row>
    <row r="166" spans="1:7" x14ac:dyDescent="0.3">
      <c r="A166" t="s">
        <v>70</v>
      </c>
      <c r="B166" t="s">
        <v>71</v>
      </c>
      <c r="C166" s="2" t="s">
        <v>79</v>
      </c>
      <c r="D166" s="1">
        <f>1290*1000/60</f>
        <v>21500</v>
      </c>
      <c r="E166" s="1">
        <v>10</v>
      </c>
      <c r="F166" s="3" t="s">
        <v>75</v>
      </c>
      <c r="G166" s="1" t="str">
        <f>IF(OR(ISERROR(SEARCH("recipiente",A166))=FALSE, ISERROR(SEARCH("serbatoio",A166))=FALSE, ISERROR(SEARCH("scambiatore",A166))=FALSE),
    IF(#REF!*E166&gt;3000,"IV",
        IF(#REF!*E166&gt;1000,"III",
            IF(#REF!*E166&gt;200,"II",
                IF(#REF!*E166&gt;50,"I","")
            )
        )
    ),
    IF(ISERROR(SEARCH("valvola di sicurezza",A166))=FALSE,"IV","")
)</f>
        <v>IV</v>
      </c>
    </row>
    <row r="167" spans="1:7" x14ac:dyDescent="0.3">
      <c r="A167" t="s">
        <v>70</v>
      </c>
      <c r="B167" t="s">
        <v>71</v>
      </c>
      <c r="C167" s="2" t="s">
        <v>80</v>
      </c>
      <c r="D167" s="1">
        <f>1977*1000/60</f>
        <v>32950</v>
      </c>
      <c r="E167" s="1">
        <v>10</v>
      </c>
      <c r="F167" s="3" t="s">
        <v>75</v>
      </c>
      <c r="G167" s="1" t="str">
        <f>IF(OR(ISERROR(SEARCH("recipiente",A167))=FALSE, ISERROR(SEARCH("serbatoio",A167))=FALSE, ISERROR(SEARCH("scambiatore",A167))=FALSE),
    IF(#REF!*E167&gt;3000,"IV",
        IF(#REF!*E167&gt;1000,"III",
            IF(#REF!*E167&gt;200,"II",
                IF(#REF!*E167&gt;50,"I","")
            )
        )
    ),
    IF(ISERROR(SEARCH("valvola di sicurezza",A167))=FALSE,"IV","")
)</f>
        <v>IV</v>
      </c>
    </row>
    <row r="168" spans="1:7" x14ac:dyDescent="0.3">
      <c r="A168" t="s">
        <v>70</v>
      </c>
      <c r="B168" t="s">
        <v>71</v>
      </c>
      <c r="C168" s="2" t="s">
        <v>81</v>
      </c>
      <c r="D168" s="1">
        <f>444.9*1000/60</f>
        <v>7415</v>
      </c>
      <c r="E168" s="1">
        <v>10</v>
      </c>
      <c r="F168" s="3" t="s">
        <v>82</v>
      </c>
      <c r="G168" s="1" t="str">
        <f>IF(OR(ISERROR(SEARCH("recipiente",A168))=FALSE, ISERROR(SEARCH("serbatoio",A168))=FALSE, ISERROR(SEARCH("scambiatore",A168))=FALSE),
    IF(#REF!*E168&gt;3000,"IV",
        IF(#REF!*E168&gt;1000,"III",
            IF(#REF!*E168&gt;200,"II",
                IF(#REF!*E168&gt;50,"I","")
            )
        )
    ),
    IF(ISERROR(SEARCH("valvola di sicurezza",A168))=FALSE,"IV","")
)</f>
        <v>IV</v>
      </c>
    </row>
    <row r="169" spans="1:7" x14ac:dyDescent="0.3">
      <c r="A169" t="s">
        <v>70</v>
      </c>
      <c r="B169" t="s">
        <v>71</v>
      </c>
      <c r="C169" s="2" t="s">
        <v>83</v>
      </c>
      <c r="D169" s="1" t="s">
        <v>84</v>
      </c>
      <c r="E169" s="1">
        <v>11.5</v>
      </c>
      <c r="F169" s="3" t="s">
        <v>82</v>
      </c>
      <c r="G169" s="1" t="str">
        <f>IF(OR(ISERROR(SEARCH("recipiente",A169))=FALSE, ISERROR(SEARCH("serbatoio",A169))=FALSE, ISERROR(SEARCH("scambiatore",A169))=FALSE),
    IF(#REF!*E169&gt;3000,"IV",
        IF(#REF!*E169&gt;1000,"III",
            IF(#REF!*E169&gt;200,"II",
                IF(#REF!*E169&gt;50,"I","")
            )
        )
    ),
    IF(ISERROR(SEARCH("valvola di sicurezza",A169))=FALSE,"IV","")
)</f>
        <v>IV</v>
      </c>
    </row>
    <row r="170" spans="1:7" x14ac:dyDescent="0.3">
      <c r="A170" t="s">
        <v>70</v>
      </c>
      <c r="B170" t="s">
        <v>71</v>
      </c>
      <c r="C170" s="2" t="s">
        <v>85</v>
      </c>
      <c r="D170" s="1">
        <v>3546</v>
      </c>
      <c r="E170" s="1">
        <v>10</v>
      </c>
      <c r="F170" s="3" t="s">
        <v>82</v>
      </c>
      <c r="G170" s="1" t="str">
        <f>IF(OR(ISERROR(SEARCH("recipiente",A170))=FALSE, ISERROR(SEARCH("serbatoio",A170))=FALSE, ISERROR(SEARCH("scambiatore",A170))=FALSE),
    IF(#REF!*E170&gt;3000,"IV",
        IF(#REF!*E170&gt;1000,"III",
            IF(#REF!*E170&gt;200,"II",
                IF(#REF!*E170&gt;50,"I","")
            )
        )
    ),
    IF(ISERROR(SEARCH("valvola di sicurezza",A170))=FALSE,"IV","")
)</f>
        <v>IV</v>
      </c>
    </row>
    <row r="171" spans="1:7" x14ac:dyDescent="0.3">
      <c r="A171" t="s">
        <v>70</v>
      </c>
      <c r="B171" t="s">
        <v>71</v>
      </c>
      <c r="C171" s="2" t="s">
        <v>86</v>
      </c>
      <c r="D171" s="1">
        <v>4943</v>
      </c>
      <c r="E171" s="1">
        <v>11.5</v>
      </c>
      <c r="F171" s="3" t="s">
        <v>82</v>
      </c>
      <c r="G171" s="1" t="str">
        <f>IF(OR(ISERROR(SEARCH("recipiente",A171))=FALSE, ISERROR(SEARCH("serbatoio",A171))=FALSE, ISERROR(SEARCH("scambiatore",A171))=FALSE),
    IF(#REF!*E171&gt;3000,"IV",
        IF(#REF!*E171&gt;1000,"III",
            IF(#REF!*E171&gt;200,"II",
                IF(#REF!*E171&gt;50,"I","")
            )
        )
    ),
    IF(ISERROR(SEARCH("valvola di sicurezza",A171))=FALSE,"IV","")
)</f>
        <v>IV</v>
      </c>
    </row>
    <row r="172" spans="1:7" x14ac:dyDescent="0.3">
      <c r="A172" t="s">
        <v>70</v>
      </c>
      <c r="B172" t="s">
        <v>71</v>
      </c>
      <c r="C172" s="2" t="s">
        <v>87</v>
      </c>
      <c r="D172" s="1">
        <v>6738</v>
      </c>
      <c r="E172" s="1">
        <v>11.5</v>
      </c>
      <c r="F172" s="3" t="s">
        <v>82</v>
      </c>
      <c r="G172" s="1" t="str">
        <f>IF(OR(ISERROR(SEARCH("recipiente",A172))=FALSE, ISERROR(SEARCH("serbatoio",A172))=FALSE, ISERROR(SEARCH("scambiatore",A172))=FALSE),
    IF(#REF!*E172&gt;3000,"IV",
        IF(#REF!*E172&gt;1000,"III",
            IF(#REF!*E172&gt;200,"II",
                IF(#REF!*E172&gt;50,"I","")
            )
        )
    ),
    IF(ISERROR(SEARCH("valvola di sicurezza",A172))=FALSE,"IV","")
)</f>
        <v>IV</v>
      </c>
    </row>
    <row r="173" spans="1:7" x14ac:dyDescent="0.3">
      <c r="A173" t="s">
        <v>70</v>
      </c>
      <c r="B173" t="s">
        <v>71</v>
      </c>
      <c r="C173" s="2" t="s">
        <v>88</v>
      </c>
      <c r="D173" s="1">
        <v>5062</v>
      </c>
      <c r="E173" s="1">
        <v>11.5</v>
      </c>
      <c r="F173" s="3" t="s">
        <v>82</v>
      </c>
      <c r="G173" s="1" t="str">
        <f>IF(OR(ISERROR(SEARCH("recipiente",A173))=FALSE, ISERROR(SEARCH("serbatoio",A173))=FALSE, ISERROR(SEARCH("scambiatore",A173))=FALSE),
    IF(#REF!*E173&gt;3000,"IV",
        IF(#REF!*E173&gt;1000,"III",
            IF(#REF!*E173&gt;200,"II",
                IF(#REF!*E173&gt;50,"I","")
            )
        )
    ),
    IF(ISERROR(SEARCH("valvola di sicurezza",A173))=FALSE,"IV","")
)</f>
        <v>IV</v>
      </c>
    </row>
    <row r="174" spans="1:7" x14ac:dyDescent="0.3">
      <c r="A174" t="s">
        <v>65</v>
      </c>
      <c r="B174" t="s">
        <v>89</v>
      </c>
      <c r="C174" s="2" t="s">
        <v>90</v>
      </c>
      <c r="D174" s="1">
        <v>1400</v>
      </c>
      <c r="E174" s="1">
        <v>10</v>
      </c>
      <c r="F174" s="5"/>
      <c r="G174" s="1" t="str">
        <f>IF(OR(ISERROR(SEARCH("recipiente",A174))=FALSE, ISERROR(SEARCH("serbatoio",A174))=FALSE, ISERROR(SEARCH("scambiatore",A174))=FALSE),
    IF(#REF!*E174&gt;3000,"IV",
        IF(#REF!*E174&gt;1000,"III",
            IF(#REF!*E174&gt;200,"II",
                IF(#REF!*E174&gt;50,"I","")
            )
        )
    ),
    IF(ISERROR(SEARCH("valvola di sicurezza",A174))=FALSE,"IV","")
)</f>
        <v/>
      </c>
    </row>
    <row r="175" spans="1:7" x14ac:dyDescent="0.3">
      <c r="A175" t="s">
        <v>65</v>
      </c>
      <c r="B175" t="s">
        <v>89</v>
      </c>
      <c r="C175" s="2" t="s">
        <v>91</v>
      </c>
      <c r="D175" s="1">
        <f>15.9*60</f>
        <v>954</v>
      </c>
      <c r="E175" s="1">
        <v>10</v>
      </c>
      <c r="F175" s="5"/>
      <c r="G175" s="1" t="str">
        <f>IF(OR(ISERROR(SEARCH("recipiente",A175))=FALSE, ISERROR(SEARCH("serbatoio",A175))=FALSE, ISERROR(SEARCH("scambiatore",A175))=FALSE),
    IF(#REF!*E175&gt;3000,"IV",
        IF(#REF!*E175&gt;1000,"III",
            IF(#REF!*E175&gt;200,"II",
                IF(#REF!*E175&gt;50,"I","")
            )
        )
    ),
    IF(ISERROR(SEARCH("valvola di sicurezza",A175))=FALSE,"IV","")
)</f>
        <v/>
      </c>
    </row>
    <row r="176" spans="1:7" x14ac:dyDescent="0.3">
      <c r="A176" t="s">
        <v>65</v>
      </c>
      <c r="B176" t="s">
        <v>89</v>
      </c>
      <c r="C176" s="2" t="s">
        <v>92</v>
      </c>
      <c r="D176" s="1">
        <v>1680</v>
      </c>
      <c r="E176" s="1">
        <v>7.5</v>
      </c>
      <c r="F176" s="5"/>
      <c r="G176" s="1" t="str">
        <f>IF(OR(ISERROR(SEARCH("recipiente",A176))=FALSE, ISERROR(SEARCH("serbatoio",A176))=FALSE, ISERROR(SEARCH("scambiatore",A176))=FALSE),
    IF(#REF!*E176&gt;3000,"IV",
        IF(#REF!*E176&gt;1000,"III",
            IF(#REF!*E176&gt;200,"II",
                IF(#REF!*E176&gt;50,"I","")
            )
        )
    ),
    IF(ISERROR(SEARCH("valvola di sicurezza",A176))=FALSE,"IV","")
)</f>
        <v/>
      </c>
    </row>
    <row r="177" spans="1:7" x14ac:dyDescent="0.3">
      <c r="A177" t="s">
        <v>65</v>
      </c>
      <c r="B177" t="s">
        <v>89</v>
      </c>
      <c r="C177" s="2" t="s">
        <v>93</v>
      </c>
      <c r="D177" s="1">
        <v>2900</v>
      </c>
      <c r="E177" s="1">
        <v>10</v>
      </c>
      <c r="F177" s="5"/>
      <c r="G177" s="1" t="str">
        <f>IF(OR(ISERROR(SEARCH("recipiente",A177))=FALSE, ISERROR(SEARCH("serbatoio",A177))=FALSE, ISERROR(SEARCH("scambiatore",A177))=FALSE),
    IF(#REF!*E177&gt;3000,"IV",
        IF(#REF!*E177&gt;1000,"III",
            IF(#REF!*E177&gt;200,"II",
                IF(#REF!*E177&gt;50,"I","")
            )
        )
    ),
    IF(ISERROR(SEARCH("valvola di sicurezza",A177))=FALSE,"IV","")
)</f>
        <v/>
      </c>
    </row>
    <row r="178" spans="1:7" x14ac:dyDescent="0.3">
      <c r="A178" t="s">
        <v>65</v>
      </c>
      <c r="B178" t="s">
        <v>89</v>
      </c>
      <c r="C178" s="2" t="s">
        <v>94</v>
      </c>
      <c r="D178" s="1">
        <f>57*60</f>
        <v>3420</v>
      </c>
      <c r="E178" s="1">
        <v>8.5</v>
      </c>
      <c r="F178" s="5"/>
      <c r="G178" s="1" t="str">
        <f>IF(OR(ISERROR(SEARCH("recipiente",A178))=FALSE, ISERROR(SEARCH("serbatoio",A178))=FALSE, ISERROR(SEARCH("scambiatore",A178))=FALSE),
    IF(#REF!*E178&gt;3000,"IV",
        IF(#REF!*E178&gt;1000,"III",
            IF(#REF!*E178&gt;200,"II",
                IF(#REF!*E178&gt;50,"I","")
            )
        )
    ),
    IF(ISERROR(SEARCH("valvola di sicurezza",A178))=FALSE,"IV","")
)</f>
        <v/>
      </c>
    </row>
    <row r="179" spans="1:7" x14ac:dyDescent="0.3">
      <c r="A179" t="s">
        <v>65</v>
      </c>
      <c r="B179" t="s">
        <v>89</v>
      </c>
      <c r="C179" s="2" t="s">
        <v>95</v>
      </c>
      <c r="D179" s="1"/>
      <c r="E179" s="1">
        <v>8</v>
      </c>
      <c r="F179" s="5"/>
      <c r="G179" s="1" t="str">
        <f>IF(OR(ISERROR(SEARCH("recipiente",A179))=FALSE, ISERROR(SEARCH("serbatoio",A179))=FALSE, ISERROR(SEARCH("scambiatore",A179))=FALSE),
    IF(#REF!*E179&gt;3000,"IV",
        IF(#REF!*E179&gt;1000,"III",
            IF(#REF!*E179&gt;200,"II",
                IF(#REF!*E179&gt;50,"I","")
            )
        )
    ),
    IF(ISERROR(SEARCH("valvola di sicurezza",A179))=FALSE,"IV","")
)</f>
        <v/>
      </c>
    </row>
    <row r="180" spans="1:7" x14ac:dyDescent="0.3">
      <c r="A180" t="s">
        <v>65</v>
      </c>
      <c r="B180" t="s">
        <v>89</v>
      </c>
      <c r="C180" s="2" t="s">
        <v>96</v>
      </c>
      <c r="D180" s="1">
        <v>5184</v>
      </c>
      <c r="E180" s="1">
        <v>9.8000000000000007</v>
      </c>
      <c r="F180" s="5"/>
      <c r="G180" s="1" t="str">
        <f>IF(OR(ISERROR(SEARCH("recipiente",A180))=FALSE, ISERROR(SEARCH("serbatoio",A180))=FALSE, ISERROR(SEARCH("scambiatore",A180))=FALSE),
    IF(#REF!*E180&gt;3000,"IV",
        IF(#REF!*E180&gt;1000,"III",
            IF(#REF!*E180&gt;200,"II",
                IF(#REF!*E180&gt;50,"I","")
            )
        )
    ),
    IF(ISERROR(SEARCH("valvola di sicurezza",A180))=FALSE,"IV","")
)</f>
        <v/>
      </c>
    </row>
    <row r="181" spans="1:7" x14ac:dyDescent="0.3">
      <c r="A181" t="s">
        <v>65</v>
      </c>
      <c r="B181" t="s">
        <v>89</v>
      </c>
      <c r="C181" s="2" t="s">
        <v>97</v>
      </c>
      <c r="D181" s="1">
        <f>39.3*60</f>
        <v>2358</v>
      </c>
      <c r="E181" s="1">
        <v>10</v>
      </c>
      <c r="F181" s="5"/>
      <c r="G181" s="1" t="str">
        <f>IF(OR(ISERROR(SEARCH("recipiente",A181))=FALSE, ISERROR(SEARCH("serbatoio",A181))=FALSE, ISERROR(SEARCH("scambiatore",A181))=FALSE),
    IF(#REF!*E181&gt;3000,"IV",
        IF(#REF!*E181&gt;1000,"III",
            IF(#REF!*E181&gt;200,"II",
                IF(#REF!*E181&gt;50,"I","")
            )
        )
    ),
    IF(ISERROR(SEARCH("valvola di sicurezza",A181))=FALSE,"IV","")
)</f>
        <v/>
      </c>
    </row>
    <row r="182" spans="1:7" x14ac:dyDescent="0.3">
      <c r="A182" t="s">
        <v>65</v>
      </c>
      <c r="B182" t="s">
        <v>89</v>
      </c>
      <c r="C182" s="2" t="s">
        <v>98</v>
      </c>
      <c r="D182" s="1">
        <v>9410</v>
      </c>
      <c r="E182" s="1">
        <v>13</v>
      </c>
      <c r="F182" s="5"/>
      <c r="G182" s="1" t="str">
        <f>IF(OR(ISERROR(SEARCH("recipiente",A182))=FALSE, ISERROR(SEARCH("serbatoio",A182))=FALSE, ISERROR(SEARCH("scambiatore",A182))=FALSE),
    IF(#REF!*E182&gt;3000,"IV",
        IF(#REF!*E182&gt;1000,"III",
            IF(#REF!*E182&gt;200,"II",
                IF(#REF!*E182&gt;50,"I","")
            )
        )
    ),
    IF(ISERROR(SEARCH("valvola di sicurezza",A182))=FALSE,"IV","")
)</f>
        <v/>
      </c>
    </row>
    <row r="183" spans="1:7" x14ac:dyDescent="0.3">
      <c r="A183" t="s">
        <v>65</v>
      </c>
      <c r="B183" t="s">
        <v>89</v>
      </c>
      <c r="C183" s="2" t="s">
        <v>99</v>
      </c>
      <c r="D183" s="1">
        <v>9550</v>
      </c>
      <c r="E183" s="1">
        <v>7</v>
      </c>
      <c r="F183" s="5"/>
      <c r="G183" s="1" t="str">
        <f>IF(OR(ISERROR(SEARCH("recipiente",A183))=FALSE, ISERROR(SEARCH("serbatoio",A183))=FALSE, ISERROR(SEARCH("scambiatore",A183))=FALSE),
    IF(#REF!*E183&gt;3000,"IV",
        IF(#REF!*E183&gt;1000,"III",
            IF(#REF!*E183&gt;200,"II",
                IF(#REF!*E183&gt;50,"I","")
            )
        )
    ),
    IF(ISERROR(SEARCH("valvola di sicurezza",A183))=FALSE,"IV","")
)</f>
        <v/>
      </c>
    </row>
    <row r="184" spans="1:7" x14ac:dyDescent="0.3">
      <c r="A184" t="s">
        <v>33</v>
      </c>
      <c r="B184" t="s">
        <v>100</v>
      </c>
      <c r="C184" s="2">
        <v>302745</v>
      </c>
      <c r="D184" s="1">
        <v>45</v>
      </c>
      <c r="E184" s="1">
        <v>15</v>
      </c>
      <c r="F184" s="3" t="s">
        <v>10</v>
      </c>
      <c r="G184" s="1" t="str">
        <f>IF(OR(ISERROR(SEARCH("recipiente",A184))=FALSE, ISERROR(SEARCH("serbatoio",A184))=FALSE, ISERROR(SEARCH("scambiatore",A184))=FALSE),
    IF(D184*E184&gt;3000,"IV",
        IF(D184*E184&gt;1000,"III",
            IF(D184*E184&gt;200,"II",
                IF(D184*E184&gt;50,"I","")
            )
        )
    ),
    IF(ISERROR(SEARCH("valvola di sicurezza",A184))=FALSE,"IV","")
)</f>
        <v>II</v>
      </c>
    </row>
    <row r="185" spans="1:7" x14ac:dyDescent="0.3">
      <c r="A185" t="s">
        <v>101</v>
      </c>
      <c r="B185" t="s">
        <v>102</v>
      </c>
      <c r="C185" s="2" t="s">
        <v>103</v>
      </c>
      <c r="D185" s="1"/>
      <c r="E185" s="1">
        <v>16</v>
      </c>
      <c r="F185" s="4" t="s">
        <v>104</v>
      </c>
      <c r="G185" s="1" t="str">
        <f>IF(OR(ISERROR(SEARCH("recipiente",A185))=FALSE, ISERROR(SEARCH("serbatoio",A185))=FALSE, ISERROR(SEARCH("scambiatore",A185))=FALSE),
    IF(D185*E185&gt;3000,"IV",
        IF(D185*E185&gt;1000,"III",
            IF(D185*E185&gt;200,"II",
                IF(D185*E185&gt;50,"I","")
            )
        )
    ),
    IF(ISERROR(SEARCH("valvola di sicurezza",A185))=FALSE,"IV","")
)</f>
        <v/>
      </c>
    </row>
    <row r="186" spans="1:7" x14ac:dyDescent="0.3">
      <c r="A186" t="s">
        <v>101</v>
      </c>
      <c r="B186" t="s">
        <v>102</v>
      </c>
      <c r="C186" s="2" t="s">
        <v>105</v>
      </c>
      <c r="D186" s="1"/>
      <c r="E186" s="1">
        <v>17</v>
      </c>
      <c r="F186" s="4" t="s">
        <v>104</v>
      </c>
      <c r="G186" s="1" t="str">
        <f>IF(OR(ISERROR(SEARCH("recipiente",A186))=FALSE, ISERROR(SEARCH("serbatoio",A186))=FALSE, ISERROR(SEARCH("scambiatore",A186))=FALSE),
    IF(D186*E186&gt;3000,"IV",
        IF(D186*E186&gt;1000,"III",
            IF(D186*E186&gt;200,"II",
                IF(D186*E186&gt;50,"I","")
            )
        )
    ),
    IF(ISERROR(SEARCH("valvola di sicurezza",A186))=FALSE,"IV","")
)</f>
        <v/>
      </c>
    </row>
    <row r="187" spans="1:7" x14ac:dyDescent="0.3">
      <c r="A187" t="s">
        <v>101</v>
      </c>
      <c r="B187" t="s">
        <v>102</v>
      </c>
      <c r="C187" s="2" t="s">
        <v>106</v>
      </c>
      <c r="D187" s="1"/>
      <c r="E187" s="1">
        <v>18</v>
      </c>
      <c r="F187" s="4" t="s">
        <v>104</v>
      </c>
      <c r="G187" s="1" t="str">
        <f>IF(OR(ISERROR(SEARCH("recipiente",A187))=FALSE, ISERROR(SEARCH("serbatoio",A187))=FALSE, ISERROR(SEARCH("scambiatore",A187))=FALSE),
    IF(D187*E187&gt;3000,"IV",
        IF(D187*E187&gt;1000,"III",
            IF(D187*E187&gt;200,"II",
                IF(D187*E187&gt;50,"I","")
            )
        )
    ),
    IF(ISERROR(SEARCH("valvola di sicurezza",A187))=FALSE,"IV","")
)</f>
        <v/>
      </c>
    </row>
    <row r="188" spans="1:7" x14ac:dyDescent="0.3">
      <c r="A188" t="s">
        <v>101</v>
      </c>
      <c r="B188" t="s">
        <v>102</v>
      </c>
      <c r="C188" s="2" t="s">
        <v>107</v>
      </c>
      <c r="D188" s="1"/>
      <c r="E188" s="1">
        <v>19</v>
      </c>
      <c r="F188" s="4" t="s">
        <v>104</v>
      </c>
      <c r="G188" s="1" t="str">
        <f>IF(OR(ISERROR(SEARCH("recipiente",A188))=FALSE, ISERROR(SEARCH("serbatoio",A188))=FALSE, ISERROR(SEARCH("scambiatore",A188))=FALSE),
    IF(D188*E188&gt;3000,"IV",
        IF(D188*E188&gt;1000,"III",
            IF(D188*E188&gt;200,"II",
                IF(D188*E188&gt;50,"I","")
            )
        )
    ),
    IF(ISERROR(SEARCH("valvola di sicurezza",A188))=FALSE,"IV","")
)</f>
        <v/>
      </c>
    </row>
    <row r="189" spans="1:7" x14ac:dyDescent="0.3">
      <c r="A189" t="s">
        <v>101</v>
      </c>
      <c r="B189" t="s">
        <v>102</v>
      </c>
      <c r="C189" s="2" t="s">
        <v>108</v>
      </c>
      <c r="D189" s="1"/>
      <c r="E189" s="1">
        <v>20</v>
      </c>
      <c r="F189" s="4" t="s">
        <v>104</v>
      </c>
      <c r="G189" s="1" t="str">
        <f>IF(OR(ISERROR(SEARCH("recipiente",A189))=FALSE, ISERROR(SEARCH("serbatoio",A189))=FALSE, ISERROR(SEARCH("scambiatore",A189))=FALSE),
    IF(D189*E189&gt;3000,"IV",
        IF(D189*E189&gt;1000,"III",
            IF(D189*E189&gt;200,"II",
                IF(D189*E189&gt;50,"I","")
            )
        )
    ),
    IF(ISERROR(SEARCH("valvola di sicurezza",A189))=FALSE,"IV","")
)</f>
        <v/>
      </c>
    </row>
    <row r="190" spans="1:7" x14ac:dyDescent="0.3">
      <c r="A190" t="s">
        <v>301</v>
      </c>
      <c r="B190" t="s">
        <v>102</v>
      </c>
      <c r="C190" s="2" t="s">
        <v>984</v>
      </c>
      <c r="D190" s="1">
        <v>6100</v>
      </c>
      <c r="E190" s="1">
        <v>16</v>
      </c>
      <c r="F190" s="5">
        <v>55</v>
      </c>
      <c r="G190" s="1" t="str">
        <f>IF(OR(ISERROR(SEARCH("recipiente",A190))=FALSE, ISERROR(SEARCH("serbatoio",A190))=FALSE, ISERROR(SEARCH("scambiatore",A190))=FALSE),
    IF(D190*E190&gt;3000,"IV",
        IF(D190*E190&gt;1000,"III",
            IF(D190*E190&gt;200,"II",
                IF(D190*E190&gt;50,"I","")
            )
        )
    ),
    IF(ISERROR(SEARCH("valvola di sicurezza",A190))=FALSE,"IV","")
)</f>
        <v/>
      </c>
    </row>
    <row r="191" spans="1:7" x14ac:dyDescent="0.3">
      <c r="A191" t="s">
        <v>301</v>
      </c>
      <c r="B191" t="s">
        <v>102</v>
      </c>
      <c r="C191" s="2" t="s">
        <v>989</v>
      </c>
      <c r="D191" s="1">
        <v>7500</v>
      </c>
      <c r="E191" s="1">
        <v>16</v>
      </c>
      <c r="F191" s="5">
        <v>55</v>
      </c>
      <c r="G191" s="1" t="str">
        <f>IF(OR(ISERROR(SEARCH("recipiente",A191))=FALSE, ISERROR(SEARCH("serbatoio",A191))=FALSE, ISERROR(SEARCH("scambiatore",A191))=FALSE),
    IF(D191*E191&gt;3000,"IV",
        IF(D191*E191&gt;1000,"III",
            IF(D191*E191&gt;200,"II",
                IF(D191*E191&gt;50,"I","")
            )
        )
    ),
    IF(ISERROR(SEARCH("valvola di sicurezza",A191))=FALSE,"IV","")
)</f>
        <v/>
      </c>
    </row>
    <row r="192" spans="1:7" x14ac:dyDescent="0.3">
      <c r="A192" t="s">
        <v>33</v>
      </c>
      <c r="B192" t="s">
        <v>109</v>
      </c>
      <c r="C192" s="2" t="s">
        <v>110</v>
      </c>
      <c r="D192" s="1">
        <v>75</v>
      </c>
      <c r="E192" s="1">
        <v>16</v>
      </c>
      <c r="F192" s="4" t="s">
        <v>10</v>
      </c>
      <c r="G192" s="1" t="str">
        <f>IF(OR(ISERROR(SEARCH("recipiente",A192))=FALSE, ISERROR(SEARCH("serbatoio",A192))=FALSE, ISERROR(SEARCH("scambiatore",A192))=FALSE),
    IF(D192*E192&gt;3000,"IV",
        IF(D192*E192&gt;1000,"III",
            IF(D192*E192&gt;200,"II",
                IF(D192*E192&gt;50,"I","")
            )
        )
    ),
    IF(ISERROR(SEARCH("valvola di sicurezza",A192))=FALSE,"IV","")
)</f>
        <v>III</v>
      </c>
    </row>
    <row r="193" spans="1:7" x14ac:dyDescent="0.3">
      <c r="A193" t="s">
        <v>65</v>
      </c>
      <c r="B193" t="s">
        <v>980</v>
      </c>
      <c r="C193" s="2" t="s">
        <v>981</v>
      </c>
      <c r="D193" s="1">
        <v>1450</v>
      </c>
      <c r="E193" s="1">
        <v>10</v>
      </c>
      <c r="F193" s="5"/>
      <c r="G193" s="1" t="str">
        <f>IF(OR(ISERROR(SEARCH("recipiente",A193))=FALSE, ISERROR(SEARCH("serbatoio",A193))=FALSE, ISERROR(SEARCH("scambiatore",A193))=FALSE),
    IF(D193*E193&gt;3000,"IV",
        IF(D193*E193&gt;1000,"III",
            IF(D193*E193&gt;200,"II",
                IF(D193*E193&gt;50,"I","")
            )
        )
    ),
    IF(ISERROR(SEARCH("valvola di sicurezza",A193))=FALSE,"IV","")
)</f>
        <v/>
      </c>
    </row>
    <row r="194" spans="1:7" x14ac:dyDescent="0.3">
      <c r="A194" t="s">
        <v>65</v>
      </c>
      <c r="B194" t="s">
        <v>980</v>
      </c>
      <c r="C194" s="2" t="s">
        <v>985</v>
      </c>
      <c r="D194" s="1">
        <v>4800</v>
      </c>
      <c r="E194" s="1">
        <v>8</v>
      </c>
      <c r="F194" s="5"/>
      <c r="G194" s="1" t="str">
        <f>IF(OR(ISERROR(SEARCH("recipiente",A194))=FALSE, ISERROR(SEARCH("serbatoio",A194))=FALSE, ISERROR(SEARCH("scambiatore",A194))=FALSE),
    IF(D194*E194&gt;3000,"IV",
        IF(D194*E194&gt;1000,"III",
            IF(D194*E194&gt;200,"II",
                IF(D194*E194&gt;50,"I","")
            )
        )
    ),
    IF(ISERROR(SEARCH("valvola di sicurezza",A194))=FALSE,"IV","")
)</f>
        <v/>
      </c>
    </row>
    <row r="195" spans="1:7" x14ac:dyDescent="0.3">
      <c r="A195" t="s">
        <v>65</v>
      </c>
      <c r="B195" t="s">
        <v>111</v>
      </c>
      <c r="C195" s="2" t="s">
        <v>112</v>
      </c>
      <c r="D195" s="1">
        <v>514</v>
      </c>
      <c r="E195" s="1">
        <v>11</v>
      </c>
      <c r="F195" s="5"/>
      <c r="G195" s="1" t="str">
        <f>IF(OR(ISERROR(SEARCH("recipiente",A195))=FALSE, ISERROR(SEARCH("serbatoio",A195))=FALSE, ISERROR(SEARCH("scambiatore",A195))=FALSE),
    IF(D195*E195&gt;3000,"IV",
        IF(D195*E195&gt;1000,"III",
            IF(D195*E195&gt;200,"II",
                IF(D195*E195&gt;50,"I","")
            )
        )
    ),
    IF(ISERROR(SEARCH("valvola di sicurezza",A195))=FALSE,"IV","")
)</f>
        <v/>
      </c>
    </row>
    <row r="196" spans="1:7" x14ac:dyDescent="0.3">
      <c r="A196" t="s">
        <v>65</v>
      </c>
      <c r="B196" t="s">
        <v>111</v>
      </c>
      <c r="C196" s="2" t="s">
        <v>113</v>
      </c>
      <c r="D196" s="1">
        <v>653</v>
      </c>
      <c r="E196" s="1">
        <v>11</v>
      </c>
      <c r="F196" s="5"/>
      <c r="G196" s="1" t="str">
        <f>IF(OR(ISERROR(SEARCH("recipiente",A196))=FALSE, ISERROR(SEARCH("serbatoio",A196))=FALSE, ISERROR(SEARCH("scambiatore",A196))=FALSE),
    IF(D196*E196&gt;3000,"IV",
        IF(D196*E196&gt;1000,"III",
            IF(D196*E196&gt;200,"II",
                IF(D196*E196&gt;50,"I","")
            )
        )
    ),
    IF(ISERROR(SEARCH("valvola di sicurezza",A196))=FALSE,"IV","")
)</f>
        <v/>
      </c>
    </row>
    <row r="197" spans="1:7" x14ac:dyDescent="0.3">
      <c r="A197" t="s">
        <v>65</v>
      </c>
      <c r="B197" t="s">
        <v>111</v>
      </c>
      <c r="C197" s="2" t="s">
        <v>114</v>
      </c>
      <c r="D197" s="1">
        <v>255</v>
      </c>
      <c r="E197" s="1">
        <v>20</v>
      </c>
      <c r="F197" s="5"/>
      <c r="G197" s="1" t="str">
        <f>IF(OR(ISERROR(SEARCH("recipiente",A197))=FALSE, ISERROR(SEARCH("serbatoio",A197))=FALSE, ISERROR(SEARCH("scambiatore",A197))=FALSE),
    IF(D197*E197&gt;3000,"IV",
        IF(D197*E197&gt;1000,"III",
            IF(D197*E197&gt;200,"II",
                IF(D197*E197&gt;50,"I","")
            )
        )
    ),
    IF(ISERROR(SEARCH("valvola di sicurezza",A197))=FALSE,"IV","")
)</f>
        <v/>
      </c>
    </row>
    <row r="198" spans="1:7" x14ac:dyDescent="0.3">
      <c r="A198" t="s">
        <v>65</v>
      </c>
      <c r="B198" t="s">
        <v>111</v>
      </c>
      <c r="C198" s="2" t="s">
        <v>115</v>
      </c>
      <c r="D198" s="1">
        <v>10000</v>
      </c>
      <c r="E198" s="1">
        <v>13</v>
      </c>
      <c r="F198" s="5">
        <v>55</v>
      </c>
      <c r="G198" s="1" t="str">
        <f>IF(OR(ISERROR(SEARCH("recipiente",A198))=FALSE, ISERROR(SEARCH("serbatoio",A198))=FALSE, ISERROR(SEARCH("scambiatore",A198))=FALSE),
    IF(D198*E198&gt;3000,"IV",
        IF(D198*E198&gt;1000,"III",
            IF(D198*E198&gt;200,"II",
                IF(D198*E198&gt;50,"I","")
            )
        )
    ),
    IF(ISERROR(SEARCH("valvola di sicurezza",A198))=FALSE,"IV","")
)</f>
        <v/>
      </c>
    </row>
    <row r="199" spans="1:7" x14ac:dyDescent="0.3">
      <c r="A199" t="s">
        <v>65</v>
      </c>
      <c r="B199" t="s">
        <v>111</v>
      </c>
      <c r="C199" s="2" t="s">
        <v>116</v>
      </c>
      <c r="D199" s="1">
        <v>1200</v>
      </c>
      <c r="E199" s="1">
        <v>16</v>
      </c>
      <c r="F199" s="5">
        <v>55</v>
      </c>
      <c r="G199" s="1" t="str">
        <f>IF(OR(ISERROR(SEARCH("recipiente",A199))=FALSE, ISERROR(SEARCH("serbatoio",A199))=FALSE, ISERROR(SEARCH("scambiatore",A199))=FALSE),
    IF(D199*E199&gt;3000,"IV",
        IF(D199*E199&gt;1000,"III",
            IF(D199*E199&gt;200,"II",
                IF(D199*E199&gt;50,"I","")
            )
        )
    ),
    IF(ISERROR(SEARCH("valvola di sicurezza",A199))=FALSE,"IV","")
)</f>
        <v/>
      </c>
    </row>
    <row r="200" spans="1:7" x14ac:dyDescent="0.3">
      <c r="A200" t="s">
        <v>65</v>
      </c>
      <c r="B200" t="s">
        <v>111</v>
      </c>
      <c r="C200" s="2" t="s">
        <v>117</v>
      </c>
      <c r="D200" s="1">
        <v>12000</v>
      </c>
      <c r="E200" s="1">
        <v>13</v>
      </c>
      <c r="F200" s="5">
        <v>55</v>
      </c>
      <c r="G200" s="1" t="str">
        <f>IF(OR(ISERROR(SEARCH("recipiente",A200))=FALSE, ISERROR(SEARCH("serbatoio",A200))=FALSE, ISERROR(SEARCH("scambiatore",A200))=FALSE),
    IF(D200*E200&gt;3000,"IV",
        IF(D200*E200&gt;1000,"III",
            IF(D200*E200&gt;200,"II",
                IF(D200*E200&gt;50,"I","")
            )
        )
    ),
    IF(ISERROR(SEARCH("valvola di sicurezza",A200))=FALSE,"IV","")
)</f>
        <v/>
      </c>
    </row>
    <row r="201" spans="1:7" x14ac:dyDescent="0.3">
      <c r="A201" t="s">
        <v>65</v>
      </c>
      <c r="B201" t="s">
        <v>111</v>
      </c>
      <c r="C201" s="2" t="s">
        <v>118</v>
      </c>
      <c r="D201" s="1">
        <v>15000</v>
      </c>
      <c r="E201" s="1">
        <v>13</v>
      </c>
      <c r="F201" s="5">
        <v>55</v>
      </c>
      <c r="G201" s="1" t="str">
        <f>IF(OR(ISERROR(SEARCH("recipiente",A201))=FALSE, ISERROR(SEARCH("serbatoio",A201))=FALSE, ISERROR(SEARCH("scambiatore",A201))=FALSE),
    IF(D201*E201&gt;3000,"IV",
        IF(D201*E201&gt;1000,"III",
            IF(D201*E201&gt;200,"II",
                IF(D201*E201&gt;50,"I","")
            )
        )
    ),
    IF(ISERROR(SEARCH("valvola di sicurezza",A201))=FALSE,"IV","")
)</f>
        <v/>
      </c>
    </row>
    <row r="202" spans="1:7" x14ac:dyDescent="0.3">
      <c r="A202" t="s">
        <v>65</v>
      </c>
      <c r="B202" t="s">
        <v>111</v>
      </c>
      <c r="C202" s="2" t="s">
        <v>119</v>
      </c>
      <c r="D202" s="1">
        <v>1825</v>
      </c>
      <c r="E202" s="1">
        <v>16</v>
      </c>
      <c r="F202" s="5">
        <v>55</v>
      </c>
      <c r="G202" s="1" t="str">
        <f>IF(OR(ISERROR(SEARCH("recipiente",A202))=FALSE, ISERROR(SEARCH("serbatoio",A202))=FALSE, ISERROR(SEARCH("scambiatore",A202))=FALSE),
    IF(D202*E202&gt;3000,"IV",
        IF(D202*E202&gt;1000,"III",
            IF(D202*E202&gt;200,"II",
                IF(D202*E202&gt;50,"I","")
            )
        )
    ),
    IF(ISERROR(SEARCH("valvola di sicurezza",A202))=FALSE,"IV","")
)</f>
        <v/>
      </c>
    </row>
    <row r="203" spans="1:7" x14ac:dyDescent="0.3">
      <c r="A203" t="s">
        <v>65</v>
      </c>
      <c r="B203" t="s">
        <v>111</v>
      </c>
      <c r="C203" s="2" t="s">
        <v>120</v>
      </c>
      <c r="D203" s="1">
        <v>18000</v>
      </c>
      <c r="E203" s="1">
        <v>13</v>
      </c>
      <c r="F203" s="5">
        <v>55</v>
      </c>
      <c r="G203" s="1" t="str">
        <f>IF(OR(ISERROR(SEARCH("recipiente",A203))=FALSE, ISERROR(SEARCH("serbatoio",A203))=FALSE, ISERROR(SEARCH("scambiatore",A203))=FALSE),
    IF(D203*E203&gt;3000,"IV",
        IF(D203*E203&gt;1000,"III",
            IF(D203*E203&gt;200,"II",
                IF(D203*E203&gt;50,"I","")
            )
        )
    ),
    IF(ISERROR(SEARCH("valvola di sicurezza",A203))=FALSE,"IV","")
)</f>
        <v/>
      </c>
    </row>
    <row r="204" spans="1:7" x14ac:dyDescent="0.3">
      <c r="A204" t="s">
        <v>65</v>
      </c>
      <c r="B204" t="s">
        <v>111</v>
      </c>
      <c r="C204" s="2" t="s">
        <v>121</v>
      </c>
      <c r="D204" s="1">
        <v>2350</v>
      </c>
      <c r="E204" s="1">
        <v>13</v>
      </c>
      <c r="F204" s="5">
        <v>55</v>
      </c>
      <c r="G204" s="1" t="str">
        <f>IF(OR(ISERROR(SEARCH("recipiente",A204))=FALSE, ISERROR(SEARCH("serbatoio",A204))=FALSE, ISERROR(SEARCH("scambiatore",A204))=FALSE),
    IF(D204*E204&gt;3000,"IV",
        IF(D204*E204&gt;1000,"III",
            IF(D204*E204&gt;200,"II",
                IF(D204*E204&gt;50,"I","")
            )
        )
    ),
    IF(ISERROR(SEARCH("valvola di sicurezza",A204))=FALSE,"IV","")
)</f>
        <v/>
      </c>
    </row>
    <row r="205" spans="1:7" x14ac:dyDescent="0.3">
      <c r="A205" t="s">
        <v>65</v>
      </c>
      <c r="B205" t="s">
        <v>111</v>
      </c>
      <c r="C205" s="2" t="s">
        <v>122</v>
      </c>
      <c r="D205" s="1">
        <v>24000</v>
      </c>
      <c r="E205" s="1">
        <v>13</v>
      </c>
      <c r="F205" s="5">
        <v>55</v>
      </c>
      <c r="G205" s="1" t="str">
        <f>IF(OR(ISERROR(SEARCH("recipiente",A205))=FALSE, ISERROR(SEARCH("serbatoio",A205))=FALSE, ISERROR(SEARCH("scambiatore",A205))=FALSE),
    IF(D205*E205&gt;3000,"IV",
        IF(D205*E205&gt;1000,"III",
            IF(D205*E205&gt;200,"II",
                IF(D205*E205&gt;50,"I","")
            )
        )
    ),
    IF(ISERROR(SEARCH("valvola di sicurezza",A205))=FALSE,"IV","")
)</f>
        <v/>
      </c>
    </row>
    <row r="206" spans="1:7" x14ac:dyDescent="0.3">
      <c r="A206" t="s">
        <v>65</v>
      </c>
      <c r="B206" t="s">
        <v>111</v>
      </c>
      <c r="C206" s="2" t="s">
        <v>123</v>
      </c>
      <c r="D206" s="1">
        <v>3000</v>
      </c>
      <c r="E206" s="1">
        <v>13</v>
      </c>
      <c r="F206" s="5">
        <v>55</v>
      </c>
      <c r="G206" s="1" t="str">
        <f>IF(OR(ISERROR(SEARCH("recipiente",A206))=FALSE, ISERROR(SEARCH("serbatoio",A206))=FALSE, ISERROR(SEARCH("scambiatore",A206))=FALSE),
    IF(D206*E206&gt;3000,"IV",
        IF(D206*E206&gt;1000,"III",
            IF(D206*E206&gt;200,"II",
                IF(D206*E206&gt;50,"I","")
            )
        )
    ),
    IF(ISERROR(SEARCH("valvola di sicurezza",A206))=FALSE,"IV","")
)</f>
        <v/>
      </c>
    </row>
    <row r="207" spans="1:7" x14ac:dyDescent="0.3">
      <c r="A207" t="s">
        <v>65</v>
      </c>
      <c r="B207" t="s">
        <v>111</v>
      </c>
      <c r="C207" s="2" t="s">
        <v>124</v>
      </c>
      <c r="D207" s="1">
        <v>30000</v>
      </c>
      <c r="E207" s="1">
        <v>13</v>
      </c>
      <c r="F207" s="5">
        <v>55</v>
      </c>
      <c r="G207" s="1" t="str">
        <f>IF(OR(ISERROR(SEARCH("recipiente",A207))=FALSE, ISERROR(SEARCH("serbatoio",A207))=FALSE, ISERROR(SEARCH("scambiatore",A207))=FALSE),
    IF(D207*E207&gt;3000,"IV",
        IF(D207*E207&gt;1000,"III",
            IF(D207*E207&gt;200,"II",
                IF(D207*E207&gt;50,"I","")
            )
        )
    ),
    IF(ISERROR(SEARCH("valvola di sicurezza",A207))=FALSE,"IV","")
)</f>
        <v/>
      </c>
    </row>
    <row r="208" spans="1:7" x14ac:dyDescent="0.3">
      <c r="A208" t="s">
        <v>65</v>
      </c>
      <c r="B208" t="s">
        <v>111</v>
      </c>
      <c r="C208" s="2" t="s">
        <v>125</v>
      </c>
      <c r="D208" s="1">
        <v>35000</v>
      </c>
      <c r="E208" s="1">
        <v>13</v>
      </c>
      <c r="F208" s="5">
        <v>55</v>
      </c>
      <c r="G208" s="1" t="str">
        <f>IF(OR(ISERROR(SEARCH("recipiente",A208))=FALSE, ISERROR(SEARCH("serbatoio",A208))=FALSE, ISERROR(SEARCH("scambiatore",A208))=FALSE),
    IF(D208*E208&gt;3000,"IV",
        IF(D208*E208&gt;1000,"III",
            IF(D208*E208&gt;200,"II",
                IF(D208*E208&gt;50,"I","")
            )
        )
    ),
    IF(ISERROR(SEARCH("valvola di sicurezza",A208))=FALSE,"IV","")
)</f>
        <v/>
      </c>
    </row>
    <row r="209" spans="1:7" x14ac:dyDescent="0.3">
      <c r="A209" t="s">
        <v>65</v>
      </c>
      <c r="B209" t="s">
        <v>111</v>
      </c>
      <c r="C209" s="2" t="s">
        <v>126</v>
      </c>
      <c r="D209" s="1">
        <v>3600</v>
      </c>
      <c r="E209" s="1">
        <v>13</v>
      </c>
      <c r="F209" s="5">
        <v>55</v>
      </c>
      <c r="G209" s="1" t="str">
        <f>IF(OR(ISERROR(SEARCH("recipiente",A209))=FALSE, ISERROR(SEARCH("serbatoio",A209))=FALSE, ISERROR(SEARCH("scambiatore",A209))=FALSE),
    IF(D209*E209&gt;3000,"IV",
        IF(D209*E209&gt;1000,"III",
            IF(D209*E209&gt;200,"II",
                IF(D209*E209&gt;50,"I","")
            )
        )
    ),
    IF(ISERROR(SEARCH("valvola di sicurezza",A209))=FALSE,"IV","")
)</f>
        <v/>
      </c>
    </row>
    <row r="210" spans="1:7" x14ac:dyDescent="0.3">
      <c r="A210" t="s">
        <v>65</v>
      </c>
      <c r="B210" t="s">
        <v>111</v>
      </c>
      <c r="C210" s="2" t="s">
        <v>127</v>
      </c>
      <c r="D210" s="1">
        <v>350</v>
      </c>
      <c r="E210" s="1">
        <v>16</v>
      </c>
      <c r="F210" s="5">
        <v>55</v>
      </c>
      <c r="G210" s="1" t="str">
        <f>IF(OR(ISERROR(SEARCH("recipiente",A210))=FALSE, ISERROR(SEARCH("serbatoio",A210))=FALSE, ISERROR(SEARCH("scambiatore",A210))=FALSE),
    IF(D210*E210&gt;3000,"IV",
        IF(D210*E210&gt;1000,"III",
            IF(D210*E210&gt;200,"II",
                IF(D210*E210&gt;50,"I","")
            )
        )
    ),
    IF(ISERROR(SEARCH("valvola di sicurezza",A210))=FALSE,"IV","")
)</f>
        <v/>
      </c>
    </row>
    <row r="211" spans="1:7" x14ac:dyDescent="0.3">
      <c r="A211" t="s">
        <v>65</v>
      </c>
      <c r="B211" t="s">
        <v>111</v>
      </c>
      <c r="C211" s="2" t="s">
        <v>128</v>
      </c>
      <c r="D211" s="1">
        <v>4100</v>
      </c>
      <c r="E211" s="1">
        <v>13</v>
      </c>
      <c r="F211" s="5">
        <v>55</v>
      </c>
      <c r="G211" s="1" t="str">
        <f>IF(OR(ISERROR(SEARCH("recipiente",A211))=FALSE, ISERROR(SEARCH("serbatoio",A211))=FALSE, ISERROR(SEARCH("scambiatore",A211))=FALSE),
    IF(D211*E211&gt;3000,"IV",
        IF(D211*E211&gt;1000,"III",
            IF(D211*E211&gt;200,"II",
                IF(D211*E211&gt;50,"I","")
            )
        )
    ),
    IF(ISERROR(SEARCH("valvola di sicurezza",A211))=FALSE,"IV","")
)</f>
        <v/>
      </c>
    </row>
    <row r="212" spans="1:7" x14ac:dyDescent="0.3">
      <c r="A212" t="s">
        <v>65</v>
      </c>
      <c r="B212" t="s">
        <v>111</v>
      </c>
      <c r="C212" s="2" t="s">
        <v>129</v>
      </c>
      <c r="D212" s="1">
        <v>45000</v>
      </c>
      <c r="E212" s="1">
        <v>13</v>
      </c>
      <c r="F212" s="5">
        <v>55</v>
      </c>
      <c r="G212" s="1" t="str">
        <f>IF(OR(ISERROR(SEARCH("recipiente",A212))=FALSE, ISERROR(SEARCH("serbatoio",A212))=FALSE, ISERROR(SEARCH("scambiatore",A212))=FALSE),
    IF(D212*E212&gt;3000,"IV",
        IF(D212*E212&gt;1000,"III",
            IF(D212*E212&gt;200,"II",
                IF(D212*E212&gt;50,"I","")
            )
        )
    ),
    IF(ISERROR(SEARCH("valvola di sicurezza",A212))=FALSE,"IV","")
)</f>
        <v/>
      </c>
    </row>
    <row r="213" spans="1:7" x14ac:dyDescent="0.3">
      <c r="A213" t="s">
        <v>65</v>
      </c>
      <c r="B213" t="s">
        <v>111</v>
      </c>
      <c r="C213" s="2" t="s">
        <v>130</v>
      </c>
      <c r="D213" s="1">
        <v>50000</v>
      </c>
      <c r="E213" s="1">
        <v>13</v>
      </c>
      <c r="F213" s="5">
        <v>55</v>
      </c>
      <c r="G213" s="1" t="str">
        <f>IF(OR(ISERROR(SEARCH("recipiente",A213))=FALSE, ISERROR(SEARCH("serbatoio",A213))=FALSE, ISERROR(SEARCH("scambiatore",A213))=FALSE),
    IF(D213*E213&gt;3000,"IV",
        IF(D213*E213&gt;1000,"III",
            IF(D213*E213&gt;200,"II",
                IF(D213*E213&gt;50,"I","")
            )
        )
    ),
    IF(ISERROR(SEARCH("valvola di sicurezza",A213))=FALSE,"IV","")
)</f>
        <v/>
      </c>
    </row>
    <row r="214" spans="1:7" x14ac:dyDescent="0.3">
      <c r="A214" t="s">
        <v>65</v>
      </c>
      <c r="B214" t="s">
        <v>111</v>
      </c>
      <c r="C214" s="2" t="s">
        <v>131</v>
      </c>
      <c r="D214" s="1">
        <v>5200</v>
      </c>
      <c r="E214" s="1">
        <v>13</v>
      </c>
      <c r="F214" s="5">
        <v>55</v>
      </c>
      <c r="G214" s="1" t="str">
        <f>IF(OR(ISERROR(SEARCH("recipiente",A214))=FALSE, ISERROR(SEARCH("serbatoio",A214))=FALSE, ISERROR(SEARCH("scambiatore",A214))=FALSE),
    IF(D214*E214&gt;3000,"IV",
        IF(D214*E214&gt;1000,"III",
            IF(D214*E214&gt;200,"II",
                IF(D214*E214&gt;50,"I","")
            )
        )
    ),
    IF(ISERROR(SEARCH("valvola di sicurezza",A214))=FALSE,"IV","")
)</f>
        <v/>
      </c>
    </row>
    <row r="215" spans="1:7" x14ac:dyDescent="0.3">
      <c r="A215" t="s">
        <v>65</v>
      </c>
      <c r="B215" t="s">
        <v>111</v>
      </c>
      <c r="C215" s="2" t="s">
        <v>132</v>
      </c>
      <c r="D215" s="1">
        <v>600</v>
      </c>
      <c r="E215" s="1">
        <v>16</v>
      </c>
      <c r="F215" s="5">
        <v>55</v>
      </c>
      <c r="G215" s="1" t="str">
        <f>IF(OR(ISERROR(SEARCH("recipiente",A215))=FALSE, ISERROR(SEARCH("serbatoio",A215))=FALSE, ISERROR(SEARCH("scambiatore",A215))=FALSE),
    IF(D215*E215&gt;3000,"IV",
        IF(D215*E215&gt;1000,"III",
            IF(D215*E215&gt;200,"II",
                IF(D215*E215&gt;50,"I","")
            )
        )
    ),
    IF(ISERROR(SEARCH("valvola di sicurezza",A215))=FALSE,"IV","")
)</f>
        <v/>
      </c>
    </row>
    <row r="216" spans="1:7" x14ac:dyDescent="0.3">
      <c r="A216" t="s">
        <v>65</v>
      </c>
      <c r="B216" t="s">
        <v>111</v>
      </c>
      <c r="C216" s="2" t="s">
        <v>133</v>
      </c>
      <c r="D216" s="1">
        <v>6500</v>
      </c>
      <c r="E216" s="1">
        <v>13</v>
      </c>
      <c r="F216" s="5">
        <v>55</v>
      </c>
      <c r="G216" s="1" t="str">
        <f>IF(OR(ISERROR(SEARCH("recipiente",A216))=FALSE, ISERROR(SEARCH("serbatoio",A216))=FALSE, ISERROR(SEARCH("scambiatore",A216))=FALSE),
    IF(D216*E216&gt;3000,"IV",
        IF(D216*E216&gt;1000,"III",
            IF(D216*E216&gt;200,"II",
                IF(D216*E216&gt;50,"I","")
            )
        )
    ),
    IF(ISERROR(SEARCH("valvola di sicurezza",A216))=FALSE,"IV","")
)</f>
        <v/>
      </c>
    </row>
    <row r="217" spans="1:7" x14ac:dyDescent="0.3">
      <c r="A217" t="s">
        <v>65</v>
      </c>
      <c r="B217" t="s">
        <v>111</v>
      </c>
      <c r="C217" s="2" t="s">
        <v>134</v>
      </c>
      <c r="D217" s="1">
        <v>70000</v>
      </c>
      <c r="E217" s="1">
        <v>13</v>
      </c>
      <c r="F217" s="5">
        <v>55</v>
      </c>
      <c r="G217" s="1" t="str">
        <f>IF(OR(ISERROR(SEARCH("recipiente",A217))=FALSE, ISERROR(SEARCH("serbatoio",A217))=FALSE, ISERROR(SEARCH("scambiatore",A217))=FALSE),
    IF(D217*E217&gt;3000,"IV",
        IF(D217*E217&gt;1000,"III",
            IF(D217*E217&gt;200,"II",
                IF(D217*E217&gt;50,"I","")
            )
        )
    ),
    IF(ISERROR(SEARCH("valvola di sicurezza",A217))=FALSE,"IV","")
)</f>
        <v/>
      </c>
    </row>
    <row r="218" spans="1:7" x14ac:dyDescent="0.3">
      <c r="A218" t="s">
        <v>65</v>
      </c>
      <c r="B218" t="s">
        <v>111</v>
      </c>
      <c r="C218" s="2" t="s">
        <v>135</v>
      </c>
      <c r="D218" s="1">
        <v>7700</v>
      </c>
      <c r="E218" s="1">
        <v>13</v>
      </c>
      <c r="F218" s="5">
        <v>55</v>
      </c>
      <c r="G218" s="1" t="str">
        <f>IF(OR(ISERROR(SEARCH("recipiente",A218))=FALSE, ISERROR(SEARCH("serbatoio",A218))=FALSE, ISERROR(SEARCH("scambiatore",A218))=FALSE),
    IF(D218*E218&gt;3000,"IV",
        IF(D218*E218&gt;1000,"III",
            IF(D218*E218&gt;200,"II",
                IF(D218*E218&gt;50,"I","")
            )
        )
    ),
    IF(ISERROR(SEARCH("valvola di sicurezza",A218))=FALSE,"IV","")
)</f>
        <v/>
      </c>
    </row>
    <row r="219" spans="1:7" x14ac:dyDescent="0.3">
      <c r="A219" t="s">
        <v>65</v>
      </c>
      <c r="B219" t="s">
        <v>111</v>
      </c>
      <c r="C219" s="2" t="s">
        <v>136</v>
      </c>
      <c r="D219" s="1">
        <v>84000</v>
      </c>
      <c r="E219" s="1">
        <v>13</v>
      </c>
      <c r="F219" s="5">
        <v>55</v>
      </c>
      <c r="G219" s="1" t="str">
        <f>IF(OR(ISERROR(SEARCH("recipiente",A219))=FALSE, ISERROR(SEARCH("serbatoio",A219))=FALSE, ISERROR(SEARCH("scambiatore",A219))=FALSE),
    IF(D219*E219&gt;3000,"IV",
        IF(D219*E219&gt;1000,"III",
            IF(D219*E219&gt;200,"II",
                IF(D219*E219&gt;50,"I","")
            )
        )
    ),
    IF(ISERROR(SEARCH("valvola di sicurezza",A219))=FALSE,"IV","")
)</f>
        <v/>
      </c>
    </row>
    <row r="220" spans="1:7" x14ac:dyDescent="0.3">
      <c r="A220" t="s">
        <v>65</v>
      </c>
      <c r="B220" t="s">
        <v>111</v>
      </c>
      <c r="C220" s="2" t="s">
        <v>137</v>
      </c>
      <c r="D220" s="1">
        <v>850</v>
      </c>
      <c r="E220" s="1">
        <v>16</v>
      </c>
      <c r="F220" s="5">
        <v>55</v>
      </c>
      <c r="G220" s="1" t="str">
        <f>IF(OR(ISERROR(SEARCH("recipiente",A220))=FALSE, ISERROR(SEARCH("serbatoio",A220))=FALSE, ISERROR(SEARCH("scambiatore",A220))=FALSE),
    IF(D220*E220&gt;3000,"IV",
        IF(D220*E220&gt;1000,"III",
            IF(D220*E220&gt;200,"II",
                IF(D220*E220&gt;50,"I","")
            )
        )
    ),
    IF(ISERROR(SEARCH("valvola di sicurezza",A220))=FALSE,"IV","")
)</f>
        <v/>
      </c>
    </row>
    <row r="221" spans="1:7" x14ac:dyDescent="0.3">
      <c r="A221" t="s">
        <v>65</v>
      </c>
      <c r="B221" t="s">
        <v>111</v>
      </c>
      <c r="C221" s="2" t="s">
        <v>138</v>
      </c>
      <c r="D221" s="1">
        <v>1790</v>
      </c>
      <c r="E221" s="1">
        <v>10</v>
      </c>
      <c r="F221" s="5"/>
      <c r="G221" s="1" t="str">
        <f>IF(OR(ISERROR(SEARCH("recipiente",A221))=FALSE, ISERROR(SEARCH("serbatoio",A221))=FALSE, ISERROR(SEARCH("scambiatore",A221))=FALSE),
    IF(D221*E221&gt;3000,"IV",
        IF(D221*E221&gt;1000,"III",
            IF(D221*E221&gt;200,"II",
                IF(D221*E221&gt;50,"I","")
            )
        )
    ),
    IF(ISERROR(SEARCH("valvola di sicurezza",A221))=FALSE,"IV","")
)</f>
        <v/>
      </c>
    </row>
    <row r="222" spans="1:7" x14ac:dyDescent="0.3">
      <c r="A222" t="s">
        <v>65</v>
      </c>
      <c r="B222" t="s">
        <v>111</v>
      </c>
      <c r="C222" s="2" t="s">
        <v>139</v>
      </c>
      <c r="D222" s="1">
        <v>1790</v>
      </c>
      <c r="E222" s="1">
        <v>10</v>
      </c>
      <c r="F222" s="5"/>
      <c r="G222" s="1" t="str">
        <f>IF(OR(ISERROR(SEARCH("recipiente",A222))=FALSE, ISERROR(SEARCH("serbatoio",A222))=FALSE, ISERROR(SEARCH("scambiatore",A222))=FALSE),
    IF(D222*E222&gt;3000,"IV",
        IF(D222*E222&gt;1000,"III",
            IF(D222*E222&gt;200,"II",
                IF(D222*E222&gt;50,"I","")
            )
        )
    ),
    IF(ISERROR(SEARCH("valvola di sicurezza",A222))=FALSE,"IV","")
)</f>
        <v/>
      </c>
    </row>
    <row r="223" spans="1:7" x14ac:dyDescent="0.3">
      <c r="A223" t="s">
        <v>65</v>
      </c>
      <c r="B223" t="s">
        <v>111</v>
      </c>
      <c r="C223" s="2" t="s">
        <v>140</v>
      </c>
      <c r="D223" s="1">
        <v>1790</v>
      </c>
      <c r="E223" s="1">
        <v>10</v>
      </c>
      <c r="F223" s="5"/>
      <c r="G223" s="1" t="str">
        <f>IF(OR(ISERROR(SEARCH("recipiente",A223))=FALSE, ISERROR(SEARCH("serbatoio",A223))=FALSE, ISERROR(SEARCH("scambiatore",A223))=FALSE),
    IF(D223*E223&gt;3000,"IV",
        IF(D223*E223&gt;1000,"III",
            IF(D223*E223&gt;200,"II",
                IF(D223*E223&gt;50,"I","")
            )
        )
    ),
    IF(ISERROR(SEARCH("valvola di sicurezza",A223))=FALSE,"IV","")
)</f>
        <v/>
      </c>
    </row>
    <row r="224" spans="1:7" x14ac:dyDescent="0.3">
      <c r="A224" t="s">
        <v>65</v>
      </c>
      <c r="B224" t="s">
        <v>111</v>
      </c>
      <c r="C224" s="2" t="s">
        <v>141</v>
      </c>
      <c r="D224" s="1">
        <v>2000</v>
      </c>
      <c r="E224" s="1">
        <v>8</v>
      </c>
      <c r="F224" s="5"/>
      <c r="G224" s="1" t="str">
        <f>IF(OR(ISERROR(SEARCH("recipiente",A224))=FALSE, ISERROR(SEARCH("serbatoio",A224))=FALSE, ISERROR(SEARCH("scambiatore",A224))=FALSE),
    IF(D224*E224&gt;3000,"IV",
        IF(D224*E224&gt;1000,"III",
            IF(D224*E224&gt;200,"II",
                IF(D224*E224&gt;50,"I","")
            )
        )
    ),
    IF(ISERROR(SEARCH("valvola di sicurezza",A224))=FALSE,"IV","")
)</f>
        <v/>
      </c>
    </row>
    <row r="225" spans="1:7" x14ac:dyDescent="0.3">
      <c r="A225" t="s">
        <v>65</v>
      </c>
      <c r="B225" t="s">
        <v>111</v>
      </c>
      <c r="C225" s="2" t="s">
        <v>142</v>
      </c>
      <c r="D225" s="1">
        <v>2000</v>
      </c>
      <c r="E225" s="1">
        <v>8</v>
      </c>
      <c r="F225" s="5"/>
      <c r="G225" s="1" t="str">
        <f>IF(OR(ISERROR(SEARCH("recipiente",A225))=FALSE, ISERROR(SEARCH("serbatoio",A225))=FALSE, ISERROR(SEARCH("scambiatore",A225))=FALSE),
    IF(D225*E225&gt;3000,"IV",
        IF(D225*E225&gt;1000,"III",
            IF(D225*E225&gt;200,"II",
                IF(D225*E225&gt;50,"I","")
            )
        )
    ),
    IF(ISERROR(SEARCH("valvola di sicurezza",A225))=FALSE,"IV","")
)</f>
        <v/>
      </c>
    </row>
    <row r="226" spans="1:7" x14ac:dyDescent="0.3">
      <c r="A226" t="s">
        <v>65</v>
      </c>
      <c r="B226" t="s">
        <v>111</v>
      </c>
      <c r="C226" s="2" t="s">
        <v>143</v>
      </c>
      <c r="D226" s="1">
        <v>2000</v>
      </c>
      <c r="E226" s="1">
        <v>8</v>
      </c>
      <c r="F226" s="5"/>
      <c r="G226" s="1" t="str">
        <f>IF(OR(ISERROR(SEARCH("recipiente",A226))=FALSE, ISERROR(SEARCH("serbatoio",A226))=FALSE, ISERROR(SEARCH("scambiatore",A226))=FALSE),
    IF(D226*E226&gt;3000,"IV",
        IF(D226*E226&gt;1000,"III",
            IF(D226*E226&gt;200,"II",
                IF(D226*E226&gt;50,"I","")
            )
        )
    ),
    IF(ISERROR(SEARCH("valvola di sicurezza",A226))=FALSE,"IV","")
)</f>
        <v/>
      </c>
    </row>
    <row r="227" spans="1:7" x14ac:dyDescent="0.3">
      <c r="A227" t="s">
        <v>65</v>
      </c>
      <c r="B227" t="s">
        <v>111</v>
      </c>
      <c r="C227" s="2" t="s">
        <v>144</v>
      </c>
      <c r="D227" s="1">
        <v>1000</v>
      </c>
      <c r="E227" s="1">
        <v>10</v>
      </c>
      <c r="F227" s="5"/>
      <c r="G227" s="1" t="str">
        <f>IF(OR(ISERROR(SEARCH("recipiente",A227))=FALSE, ISERROR(SEARCH("serbatoio",A227))=FALSE, ISERROR(SEARCH("scambiatore",A227))=FALSE),
    IF(D227*E227&gt;3000,"IV",
        IF(D227*E227&gt;1000,"III",
            IF(D227*E227&gt;200,"II",
                IF(D227*E227&gt;50,"I","")
            )
        )
    ),
    IF(ISERROR(SEARCH("valvola di sicurezza",A227))=FALSE,"IV","")
)</f>
        <v/>
      </c>
    </row>
    <row r="228" spans="1:7" x14ac:dyDescent="0.3">
      <c r="A228" t="s">
        <v>65</v>
      </c>
      <c r="B228" t="s">
        <v>111</v>
      </c>
      <c r="C228" s="2" t="s">
        <v>145</v>
      </c>
      <c r="D228" s="1">
        <v>1000</v>
      </c>
      <c r="E228" s="1">
        <v>10</v>
      </c>
      <c r="F228" s="5"/>
      <c r="G228" s="1" t="str">
        <f>IF(OR(ISERROR(SEARCH("recipiente",A228))=FALSE, ISERROR(SEARCH("serbatoio",A228))=FALSE, ISERROR(SEARCH("scambiatore",A228))=FALSE),
    IF(D228*E228&gt;3000,"IV",
        IF(D228*E228&gt;1000,"III",
            IF(D228*E228&gt;200,"II",
                IF(D228*E228&gt;50,"I","")
            )
        )
    ),
    IF(ISERROR(SEARCH("valvola di sicurezza",A228))=FALSE,"IV","")
)</f>
        <v/>
      </c>
    </row>
    <row r="229" spans="1:7" x14ac:dyDescent="0.3">
      <c r="A229" t="s">
        <v>65</v>
      </c>
      <c r="B229" t="s">
        <v>111</v>
      </c>
      <c r="C229" s="2" t="s">
        <v>146</v>
      </c>
      <c r="D229" s="1">
        <v>1000</v>
      </c>
      <c r="E229" s="1">
        <v>10</v>
      </c>
      <c r="F229" s="5"/>
      <c r="G229" s="1" t="str">
        <f>IF(OR(ISERROR(SEARCH("recipiente",A229))=FALSE, ISERROR(SEARCH("serbatoio",A229))=FALSE, ISERROR(SEARCH("scambiatore",A229))=FALSE),
    IF(D229*E229&gt;3000,"IV",
        IF(D229*E229&gt;1000,"III",
            IF(D229*E229&gt;200,"II",
                IF(D229*E229&gt;50,"I","")
            )
        )
    ),
    IF(ISERROR(SEARCH("valvola di sicurezza",A229))=FALSE,"IV","")
)</f>
        <v/>
      </c>
    </row>
    <row r="230" spans="1:7" x14ac:dyDescent="0.3">
      <c r="A230" t="s">
        <v>65</v>
      </c>
      <c r="B230" t="s">
        <v>111</v>
      </c>
      <c r="C230" s="2" t="s">
        <v>147</v>
      </c>
      <c r="D230" s="1">
        <v>1000</v>
      </c>
      <c r="E230" s="1">
        <v>10</v>
      </c>
      <c r="F230" s="5"/>
      <c r="G230" s="1" t="str">
        <f>IF(OR(ISERROR(SEARCH("recipiente",A230))=FALSE, ISERROR(SEARCH("serbatoio",A230))=FALSE, ISERROR(SEARCH("scambiatore",A230))=FALSE),
    IF(D230*E230&gt;3000,"IV",
        IF(D230*E230&gt;1000,"III",
            IF(D230*E230&gt;200,"II",
                IF(D230*E230&gt;50,"I","")
            )
        )
    ),
    IF(ISERROR(SEARCH("valvola di sicurezza",A230))=FALSE,"IV","")
)</f>
        <v/>
      </c>
    </row>
    <row r="231" spans="1:7" x14ac:dyDescent="0.3">
      <c r="A231" t="s">
        <v>65</v>
      </c>
      <c r="B231" t="s">
        <v>111</v>
      </c>
      <c r="C231" s="2" t="s">
        <v>148</v>
      </c>
      <c r="D231" s="1">
        <v>1000</v>
      </c>
      <c r="E231" s="1">
        <v>10</v>
      </c>
      <c r="F231" s="5"/>
      <c r="G231" s="1" t="str">
        <f>IF(OR(ISERROR(SEARCH("recipiente",A231))=FALSE, ISERROR(SEARCH("serbatoio",A231))=FALSE, ISERROR(SEARCH("scambiatore",A231))=FALSE),
    IF(D231*E231&gt;3000,"IV",
        IF(D231*E231&gt;1000,"III",
            IF(D231*E231&gt;200,"II",
                IF(D231*E231&gt;50,"I","")
            )
        )
    ),
    IF(ISERROR(SEARCH("valvola di sicurezza",A231))=FALSE,"IV","")
)</f>
        <v/>
      </c>
    </row>
    <row r="232" spans="1:7" x14ac:dyDescent="0.3">
      <c r="A232" t="s">
        <v>65</v>
      </c>
      <c r="B232" t="s">
        <v>111</v>
      </c>
      <c r="C232" s="2" t="s">
        <v>149</v>
      </c>
      <c r="D232" s="1">
        <v>1000</v>
      </c>
      <c r="E232" s="1">
        <v>10</v>
      </c>
      <c r="F232" s="5"/>
      <c r="G232" s="1" t="str">
        <f>IF(OR(ISERROR(SEARCH("recipiente",A232))=FALSE, ISERROR(SEARCH("serbatoio",A232))=FALSE, ISERROR(SEARCH("scambiatore",A232))=FALSE),
    IF(D232*E232&gt;3000,"IV",
        IF(D232*E232&gt;1000,"III",
            IF(D232*E232&gt;200,"II",
                IF(D232*E232&gt;50,"I","")
            )
        )
    ),
    IF(ISERROR(SEARCH("valvola di sicurezza",A232))=FALSE,"IV","")
)</f>
        <v/>
      </c>
    </row>
    <row r="233" spans="1:7" x14ac:dyDescent="0.3">
      <c r="A233" t="s">
        <v>65</v>
      </c>
      <c r="B233" t="s">
        <v>111</v>
      </c>
      <c r="C233" s="2" t="s">
        <v>150</v>
      </c>
      <c r="D233" s="1">
        <v>810</v>
      </c>
      <c r="E233" s="1">
        <v>13</v>
      </c>
      <c r="F233" s="5"/>
      <c r="G233" s="1" t="str">
        <f>IF(OR(ISERROR(SEARCH("recipiente",A233))=FALSE, ISERROR(SEARCH("serbatoio",A233))=FALSE, ISERROR(SEARCH("scambiatore",A233))=FALSE),
    IF(D233*E233&gt;3000,"IV",
        IF(D233*E233&gt;1000,"III",
            IF(D233*E233&gt;200,"II",
                IF(D233*E233&gt;50,"I","")
            )
        )
    ),
    IF(ISERROR(SEARCH("valvola di sicurezza",A233))=FALSE,"IV","")
)</f>
        <v/>
      </c>
    </row>
    <row r="234" spans="1:7" x14ac:dyDescent="0.3">
      <c r="A234" t="s">
        <v>65</v>
      </c>
      <c r="B234" t="s">
        <v>111</v>
      </c>
      <c r="C234" s="2" t="s">
        <v>151</v>
      </c>
      <c r="D234" s="1">
        <v>810</v>
      </c>
      <c r="E234" s="1">
        <v>13</v>
      </c>
      <c r="F234" s="5"/>
      <c r="G234" s="1" t="str">
        <f>IF(OR(ISERROR(SEARCH("recipiente",A234))=FALSE, ISERROR(SEARCH("serbatoio",A234))=FALSE, ISERROR(SEARCH("scambiatore",A234))=FALSE),
    IF(D234*E234&gt;3000,"IV",
        IF(D234*E234&gt;1000,"III",
            IF(D234*E234&gt;200,"II",
                IF(D234*E234&gt;50,"I","")
            )
        )
    ),
    IF(ISERROR(SEARCH("valvola di sicurezza",A234))=FALSE,"IV","")
)</f>
        <v/>
      </c>
    </row>
    <row r="235" spans="1:7" x14ac:dyDescent="0.3">
      <c r="A235" t="s">
        <v>65</v>
      </c>
      <c r="B235" t="s">
        <v>111</v>
      </c>
      <c r="C235" s="2" t="s">
        <v>152</v>
      </c>
      <c r="D235" s="1">
        <v>810</v>
      </c>
      <c r="E235" s="1">
        <v>13</v>
      </c>
      <c r="F235" s="5"/>
      <c r="G235" s="1" t="str">
        <f>IF(OR(ISERROR(SEARCH("recipiente",A235))=FALSE, ISERROR(SEARCH("serbatoio",A235))=FALSE, ISERROR(SEARCH("scambiatore",A235))=FALSE),
    IF(D235*E235&gt;3000,"IV",
        IF(D235*E235&gt;1000,"III",
            IF(D235*E235&gt;200,"II",
                IF(D235*E235&gt;50,"I","")
            )
        )
    ),
    IF(ISERROR(SEARCH("valvola di sicurezza",A235))=FALSE,"IV","")
)</f>
        <v/>
      </c>
    </row>
    <row r="236" spans="1:7" x14ac:dyDescent="0.3">
      <c r="A236" t="s">
        <v>65</v>
      </c>
      <c r="B236" t="s">
        <v>111</v>
      </c>
      <c r="C236" s="2" t="s">
        <v>153</v>
      </c>
      <c r="D236" s="1">
        <v>1153</v>
      </c>
      <c r="E236" s="1">
        <v>8</v>
      </c>
      <c r="F236" s="5"/>
      <c r="G236" s="1" t="str">
        <f>IF(OR(ISERROR(SEARCH("recipiente",A236))=FALSE, ISERROR(SEARCH("serbatoio",A236))=FALSE, ISERROR(SEARCH("scambiatore",A236))=FALSE),
    IF(D236*E236&gt;3000,"IV",
        IF(D236*E236&gt;1000,"III",
            IF(D236*E236&gt;200,"II",
                IF(D236*E236&gt;50,"I","")
            )
        )
    ),
    IF(ISERROR(SEARCH("valvola di sicurezza",A236))=FALSE,"IV","")
)</f>
        <v/>
      </c>
    </row>
    <row r="237" spans="1:7" x14ac:dyDescent="0.3">
      <c r="A237" t="s">
        <v>65</v>
      </c>
      <c r="B237" t="s">
        <v>111</v>
      </c>
      <c r="C237" s="2" t="s">
        <v>154</v>
      </c>
      <c r="D237" s="1">
        <v>1153</v>
      </c>
      <c r="E237" s="1">
        <v>8</v>
      </c>
      <c r="F237" s="5"/>
      <c r="G237" s="1" t="str">
        <f>IF(OR(ISERROR(SEARCH("recipiente",A237))=FALSE, ISERROR(SEARCH("serbatoio",A237))=FALSE, ISERROR(SEARCH("scambiatore",A237))=FALSE),
    IF(D237*E237&gt;3000,"IV",
        IF(D237*E237&gt;1000,"III",
            IF(D237*E237&gt;200,"II",
                IF(D237*E237&gt;50,"I","")
            )
        )
    ),
    IF(ISERROR(SEARCH("valvola di sicurezza",A237))=FALSE,"IV","")
)</f>
        <v/>
      </c>
    </row>
    <row r="238" spans="1:7" x14ac:dyDescent="0.3">
      <c r="A238" t="s">
        <v>65</v>
      </c>
      <c r="B238" t="s">
        <v>111</v>
      </c>
      <c r="C238" s="2" t="s">
        <v>155</v>
      </c>
      <c r="D238" s="1">
        <v>1153</v>
      </c>
      <c r="E238" s="1">
        <v>8</v>
      </c>
      <c r="F238" s="5"/>
      <c r="G238" s="1" t="str">
        <f>IF(OR(ISERROR(SEARCH("recipiente",A238))=FALSE, ISERROR(SEARCH("serbatoio",A238))=FALSE, ISERROR(SEARCH("scambiatore",A238))=FALSE),
    IF(D238*E238&gt;3000,"IV",
        IF(D238*E238&gt;1000,"III",
            IF(D238*E238&gt;200,"II",
                IF(D238*E238&gt;50,"I","")
            )
        )
    ),
    IF(ISERROR(SEARCH("valvola di sicurezza",A238))=FALSE,"IV","")
)</f>
        <v/>
      </c>
    </row>
    <row r="239" spans="1:7" x14ac:dyDescent="0.3">
      <c r="A239" t="s">
        <v>65</v>
      </c>
      <c r="B239" t="s">
        <v>111</v>
      </c>
      <c r="C239" s="2" t="s">
        <v>156</v>
      </c>
      <c r="D239" s="1">
        <v>1153</v>
      </c>
      <c r="E239" s="1">
        <v>8</v>
      </c>
      <c r="F239" s="5"/>
      <c r="G239" s="1" t="str">
        <f>IF(OR(ISERROR(SEARCH("recipiente",A239))=FALSE, ISERROR(SEARCH("serbatoio",A239))=FALSE, ISERROR(SEARCH("scambiatore",A239))=FALSE),
    IF(D239*E239&gt;3000,"IV",
        IF(D239*E239&gt;1000,"III",
            IF(D239*E239&gt;200,"II",
                IF(D239*E239&gt;50,"I","")
            )
        )
    ),
    IF(ISERROR(SEARCH("valvola di sicurezza",A239))=FALSE,"IV","")
)</f>
        <v/>
      </c>
    </row>
    <row r="240" spans="1:7" x14ac:dyDescent="0.3">
      <c r="A240" t="s">
        <v>65</v>
      </c>
      <c r="B240" t="s">
        <v>111</v>
      </c>
      <c r="C240" s="2" t="s">
        <v>157</v>
      </c>
      <c r="D240" s="1">
        <v>1153</v>
      </c>
      <c r="E240" s="1">
        <v>8</v>
      </c>
      <c r="F240" s="5"/>
      <c r="G240" s="1" t="str">
        <f>IF(OR(ISERROR(SEARCH("recipiente",A240))=FALSE, ISERROR(SEARCH("serbatoio",A240))=FALSE, ISERROR(SEARCH("scambiatore",A240))=FALSE),
    IF(D240*E240&gt;3000,"IV",
        IF(D240*E240&gt;1000,"III",
            IF(D240*E240&gt;200,"II",
                IF(D240*E240&gt;50,"I","")
            )
        )
    ),
    IF(ISERROR(SEARCH("valvola di sicurezza",A240))=FALSE,"IV","")
)</f>
        <v/>
      </c>
    </row>
    <row r="241" spans="1:7" x14ac:dyDescent="0.3">
      <c r="A241" t="s">
        <v>65</v>
      </c>
      <c r="B241" t="s">
        <v>111</v>
      </c>
      <c r="C241" s="2" t="s">
        <v>158</v>
      </c>
      <c r="D241" s="1">
        <v>1153</v>
      </c>
      <c r="E241" s="1">
        <v>8</v>
      </c>
      <c r="F241" s="5"/>
      <c r="G241" s="1" t="str">
        <f>IF(OR(ISERROR(SEARCH("recipiente",A241))=FALSE, ISERROR(SEARCH("serbatoio",A241))=FALSE, ISERROR(SEARCH("scambiatore",A241))=FALSE),
    IF(D241*E241&gt;3000,"IV",
        IF(D241*E241&gt;1000,"III",
            IF(D241*E241&gt;200,"II",
                IF(D241*E241&gt;50,"I","")
            )
        )
    ),
    IF(ISERROR(SEARCH("valvola di sicurezza",A241))=FALSE,"IV","")
)</f>
        <v/>
      </c>
    </row>
    <row r="242" spans="1:7" x14ac:dyDescent="0.3">
      <c r="A242" t="s">
        <v>65</v>
      </c>
      <c r="B242" t="s">
        <v>111</v>
      </c>
      <c r="C242" s="2" t="s">
        <v>159</v>
      </c>
      <c r="D242" s="1">
        <v>1435</v>
      </c>
      <c r="E242" s="1">
        <v>10</v>
      </c>
      <c r="F242" s="5"/>
      <c r="G242" s="1" t="str">
        <f>IF(OR(ISERROR(SEARCH("recipiente",A242))=FALSE, ISERROR(SEARCH("serbatoio",A242))=FALSE, ISERROR(SEARCH("scambiatore",A242))=FALSE),
    IF(D242*E242&gt;3000,"IV",
        IF(D242*E242&gt;1000,"III",
            IF(D242*E242&gt;200,"II",
                IF(D242*E242&gt;50,"I","")
            )
        )
    ),
    IF(ISERROR(SEARCH("valvola di sicurezza",A242))=FALSE,"IV","")
)</f>
        <v/>
      </c>
    </row>
    <row r="243" spans="1:7" x14ac:dyDescent="0.3">
      <c r="A243" t="s">
        <v>65</v>
      </c>
      <c r="B243" t="s">
        <v>111</v>
      </c>
      <c r="C243" s="2" t="s">
        <v>160</v>
      </c>
      <c r="D243" s="1">
        <v>1435</v>
      </c>
      <c r="E243" s="1">
        <v>10</v>
      </c>
      <c r="F243" s="5"/>
      <c r="G243" s="1" t="str">
        <f>IF(OR(ISERROR(SEARCH("recipiente",A243))=FALSE, ISERROR(SEARCH("serbatoio",A243))=FALSE, ISERROR(SEARCH("scambiatore",A243))=FALSE),
    IF(D243*E243&gt;3000,"IV",
        IF(D243*E243&gt;1000,"III",
            IF(D243*E243&gt;200,"II",
                IF(D243*E243&gt;50,"I","")
            )
        )
    ),
    IF(ISERROR(SEARCH("valvola di sicurezza",A243))=FALSE,"IV","")
)</f>
        <v/>
      </c>
    </row>
    <row r="244" spans="1:7" x14ac:dyDescent="0.3">
      <c r="A244" t="s">
        <v>65</v>
      </c>
      <c r="B244" t="s">
        <v>111</v>
      </c>
      <c r="C244" s="2" t="s">
        <v>161</v>
      </c>
      <c r="D244" s="1">
        <v>1435</v>
      </c>
      <c r="E244" s="1">
        <v>10</v>
      </c>
      <c r="F244" s="5"/>
      <c r="G244" s="1" t="str">
        <f>IF(OR(ISERROR(SEARCH("recipiente",A244))=FALSE, ISERROR(SEARCH("serbatoio",A244))=FALSE, ISERROR(SEARCH("scambiatore",A244))=FALSE),
    IF(D244*E244&gt;3000,"IV",
        IF(D244*E244&gt;1000,"III",
            IF(D244*E244&gt;200,"II",
                IF(D244*E244&gt;50,"I","")
            )
        )
    ),
    IF(ISERROR(SEARCH("valvola di sicurezza",A244))=FALSE,"IV","")
)</f>
        <v/>
      </c>
    </row>
    <row r="245" spans="1:7" x14ac:dyDescent="0.3">
      <c r="A245" t="s">
        <v>65</v>
      </c>
      <c r="B245" t="s">
        <v>111</v>
      </c>
      <c r="C245" s="2" t="s">
        <v>162</v>
      </c>
      <c r="D245" s="1">
        <v>1435</v>
      </c>
      <c r="E245" s="1">
        <v>10</v>
      </c>
      <c r="F245" s="5"/>
      <c r="G245" s="1" t="str">
        <f>IF(OR(ISERROR(SEARCH("recipiente",A245))=FALSE, ISERROR(SEARCH("serbatoio",A245))=FALSE, ISERROR(SEARCH("scambiatore",A245))=FALSE),
    IF(D245*E245&gt;3000,"IV",
        IF(D245*E245&gt;1000,"III",
            IF(D245*E245&gt;200,"II",
                IF(D245*E245&gt;50,"I","")
            )
        )
    ),
    IF(ISERROR(SEARCH("valvola di sicurezza",A245))=FALSE,"IV","")
)</f>
        <v/>
      </c>
    </row>
    <row r="246" spans="1:7" x14ac:dyDescent="0.3">
      <c r="A246" t="s">
        <v>65</v>
      </c>
      <c r="B246" t="s">
        <v>111</v>
      </c>
      <c r="C246" s="2" t="s">
        <v>163</v>
      </c>
      <c r="D246" s="1">
        <v>1435</v>
      </c>
      <c r="E246" s="1">
        <v>10</v>
      </c>
      <c r="F246" s="5"/>
      <c r="G246" s="1" t="str">
        <f>IF(OR(ISERROR(SEARCH("recipiente",A246))=FALSE, ISERROR(SEARCH("serbatoio",A246))=FALSE, ISERROR(SEARCH("scambiatore",A246))=FALSE),
    IF(D246*E246&gt;3000,"IV",
        IF(D246*E246&gt;1000,"III",
            IF(D246*E246&gt;200,"II",
                IF(D246*E246&gt;50,"I","")
            )
        )
    ),
    IF(ISERROR(SEARCH("valvola di sicurezza",A246))=FALSE,"IV","")
)</f>
        <v/>
      </c>
    </row>
    <row r="247" spans="1:7" x14ac:dyDescent="0.3">
      <c r="A247" t="s">
        <v>65</v>
      </c>
      <c r="B247" t="s">
        <v>111</v>
      </c>
      <c r="C247" s="2" t="s">
        <v>164</v>
      </c>
      <c r="D247" s="1">
        <v>1435</v>
      </c>
      <c r="E247" s="1">
        <v>10</v>
      </c>
      <c r="F247" s="5"/>
      <c r="G247" s="1" t="str">
        <f>IF(OR(ISERROR(SEARCH("recipiente",A247))=FALSE, ISERROR(SEARCH("serbatoio",A247))=FALSE, ISERROR(SEARCH("scambiatore",A247))=FALSE),
    IF(D247*E247&gt;3000,"IV",
        IF(D247*E247&gt;1000,"III",
            IF(D247*E247&gt;200,"II",
                IF(D247*E247&gt;50,"I","")
            )
        )
    ),
    IF(ISERROR(SEARCH("valvola di sicurezza",A247))=FALSE,"IV","")
)</f>
        <v/>
      </c>
    </row>
    <row r="248" spans="1:7" x14ac:dyDescent="0.3">
      <c r="A248" t="s">
        <v>65</v>
      </c>
      <c r="B248" t="s">
        <v>111</v>
      </c>
      <c r="C248" s="2" t="s">
        <v>165</v>
      </c>
      <c r="D248" s="1">
        <v>1210</v>
      </c>
      <c r="E248" s="1">
        <v>13</v>
      </c>
      <c r="F248" s="5"/>
      <c r="G248" s="1" t="str">
        <f>IF(OR(ISERROR(SEARCH("recipiente",A248))=FALSE, ISERROR(SEARCH("serbatoio",A248))=FALSE, ISERROR(SEARCH("scambiatore",A248))=FALSE),
    IF(D248*E248&gt;3000,"IV",
        IF(D248*E248&gt;1000,"III",
            IF(D248*E248&gt;200,"II",
                IF(D248*E248&gt;50,"I","")
            )
        )
    ),
    IF(ISERROR(SEARCH("valvola di sicurezza",A248))=FALSE,"IV","")
)</f>
        <v/>
      </c>
    </row>
    <row r="249" spans="1:7" x14ac:dyDescent="0.3">
      <c r="A249" t="s">
        <v>65</v>
      </c>
      <c r="B249" t="s">
        <v>111</v>
      </c>
      <c r="C249" s="2" t="s">
        <v>166</v>
      </c>
      <c r="D249" s="1">
        <v>1210</v>
      </c>
      <c r="E249" s="1">
        <v>13</v>
      </c>
      <c r="F249" s="5"/>
      <c r="G249" s="1" t="str">
        <f>IF(OR(ISERROR(SEARCH("recipiente",A249))=FALSE, ISERROR(SEARCH("serbatoio",A249))=FALSE, ISERROR(SEARCH("scambiatore",A249))=FALSE),
    IF(D249*E249&gt;3000,"IV",
        IF(D249*E249&gt;1000,"III",
            IF(D249*E249&gt;200,"II",
                IF(D249*E249&gt;50,"I","")
            )
        )
    ),
    IF(ISERROR(SEARCH("valvola di sicurezza",A249))=FALSE,"IV","")
)</f>
        <v/>
      </c>
    </row>
    <row r="250" spans="1:7" x14ac:dyDescent="0.3">
      <c r="A250" t="s">
        <v>65</v>
      </c>
      <c r="B250" t="s">
        <v>111</v>
      </c>
      <c r="C250" s="2" t="s">
        <v>167</v>
      </c>
      <c r="D250" s="1">
        <v>1210</v>
      </c>
      <c r="E250" s="1">
        <v>13</v>
      </c>
      <c r="F250" s="5"/>
      <c r="G250" s="1" t="str">
        <f>IF(OR(ISERROR(SEARCH("recipiente",A250))=FALSE, ISERROR(SEARCH("serbatoio",A250))=FALSE, ISERROR(SEARCH("scambiatore",A250))=FALSE),
    IF(D250*E250&gt;3000,"IV",
        IF(D250*E250&gt;1000,"III",
            IF(D250*E250&gt;200,"II",
                IF(D250*E250&gt;50,"I","")
            )
        )
    ),
    IF(ISERROR(SEARCH("valvola di sicurezza",A250))=FALSE,"IV","")
)</f>
        <v/>
      </c>
    </row>
    <row r="251" spans="1:7" x14ac:dyDescent="0.3">
      <c r="A251" t="s">
        <v>65</v>
      </c>
      <c r="B251" t="s">
        <v>111</v>
      </c>
      <c r="C251" s="2" t="s">
        <v>168</v>
      </c>
      <c r="D251" s="1">
        <v>1665</v>
      </c>
      <c r="E251" s="1">
        <v>8</v>
      </c>
      <c r="F251" s="5"/>
      <c r="G251" s="1" t="str">
        <f>IF(OR(ISERROR(SEARCH("recipiente",A251))=FALSE, ISERROR(SEARCH("serbatoio",A251))=FALSE, ISERROR(SEARCH("scambiatore",A251))=FALSE),
    IF(D251*E251&gt;3000,"IV",
        IF(D251*E251&gt;1000,"III",
            IF(D251*E251&gt;200,"II",
                IF(D251*E251&gt;50,"I","")
            )
        )
    ),
    IF(ISERROR(SEARCH("valvola di sicurezza",A251))=FALSE,"IV","")
)</f>
        <v/>
      </c>
    </row>
    <row r="252" spans="1:7" x14ac:dyDescent="0.3">
      <c r="A252" t="s">
        <v>65</v>
      </c>
      <c r="B252" t="s">
        <v>111</v>
      </c>
      <c r="C252" s="2" t="s">
        <v>169</v>
      </c>
      <c r="D252" s="1">
        <v>1665</v>
      </c>
      <c r="E252" s="1">
        <v>8</v>
      </c>
      <c r="F252" s="5"/>
      <c r="G252" s="1" t="str">
        <f>IF(OR(ISERROR(SEARCH("recipiente",A252))=FALSE, ISERROR(SEARCH("serbatoio",A252))=FALSE, ISERROR(SEARCH("scambiatore",A252))=FALSE),
    IF(D252*E252&gt;3000,"IV",
        IF(D252*E252&gt;1000,"III",
            IF(D252*E252&gt;200,"II",
                IF(D252*E252&gt;50,"I","")
            )
        )
    ),
    IF(ISERROR(SEARCH("valvola di sicurezza",A252))=FALSE,"IV","")
)</f>
        <v/>
      </c>
    </row>
    <row r="253" spans="1:7" x14ac:dyDescent="0.3">
      <c r="A253" t="s">
        <v>65</v>
      </c>
      <c r="B253" t="s">
        <v>111</v>
      </c>
      <c r="C253" s="2" t="s">
        <v>170</v>
      </c>
      <c r="D253" s="1">
        <v>1665</v>
      </c>
      <c r="E253" s="1">
        <v>8</v>
      </c>
      <c r="F253" s="5"/>
      <c r="G253" s="1" t="str">
        <f>IF(OR(ISERROR(SEARCH("recipiente",A253))=FALSE, ISERROR(SEARCH("serbatoio",A253))=FALSE, ISERROR(SEARCH("scambiatore",A253))=FALSE),
    IF(D253*E253&gt;3000,"IV",
        IF(D253*E253&gt;1000,"III",
            IF(D253*E253&gt;200,"II",
                IF(D253*E253&gt;50,"I","")
            )
        )
    ),
    IF(ISERROR(SEARCH("valvola di sicurezza",A253))=FALSE,"IV","")
)</f>
        <v/>
      </c>
    </row>
    <row r="254" spans="1:7" x14ac:dyDescent="0.3">
      <c r="A254" t="s">
        <v>65</v>
      </c>
      <c r="B254" t="s">
        <v>111</v>
      </c>
      <c r="C254" s="2" t="s">
        <v>171</v>
      </c>
      <c r="D254" s="1">
        <v>1665</v>
      </c>
      <c r="E254" s="1">
        <v>8</v>
      </c>
      <c r="F254" s="5"/>
      <c r="G254" s="1" t="str">
        <f>IF(OR(ISERROR(SEARCH("recipiente",A254))=FALSE, ISERROR(SEARCH("serbatoio",A254))=FALSE, ISERROR(SEARCH("scambiatore",A254))=FALSE),
    IF(D254*E254&gt;3000,"IV",
        IF(D254*E254&gt;1000,"III",
            IF(D254*E254&gt;200,"II",
                IF(D254*E254&gt;50,"I","")
            )
        )
    ),
    IF(ISERROR(SEARCH("valvola di sicurezza",A254))=FALSE,"IV","")
)</f>
        <v/>
      </c>
    </row>
    <row r="255" spans="1:7" x14ac:dyDescent="0.3">
      <c r="A255" t="s">
        <v>65</v>
      </c>
      <c r="B255" t="s">
        <v>111</v>
      </c>
      <c r="C255" s="2" t="s">
        <v>172</v>
      </c>
      <c r="D255" s="1">
        <v>1665</v>
      </c>
      <c r="E255" s="1">
        <v>8</v>
      </c>
      <c r="F255" s="5"/>
      <c r="G255" s="1" t="str">
        <f>IF(OR(ISERROR(SEARCH("recipiente",A255))=FALSE, ISERROR(SEARCH("serbatoio",A255))=FALSE, ISERROR(SEARCH("scambiatore",A255))=FALSE),
    IF(D255*E255&gt;3000,"IV",
        IF(D255*E255&gt;1000,"III",
            IF(D255*E255&gt;200,"II",
                IF(D255*E255&gt;50,"I","")
            )
        )
    ),
    IF(ISERROR(SEARCH("valvola di sicurezza",A255))=FALSE,"IV","")
)</f>
        <v/>
      </c>
    </row>
    <row r="256" spans="1:7" x14ac:dyDescent="0.3">
      <c r="A256" t="s">
        <v>65</v>
      </c>
      <c r="B256" t="s">
        <v>111</v>
      </c>
      <c r="C256" s="2" t="s">
        <v>173</v>
      </c>
      <c r="D256" s="1">
        <v>1665</v>
      </c>
      <c r="E256" s="1">
        <v>8</v>
      </c>
      <c r="F256" s="5"/>
      <c r="G256" s="1" t="str">
        <f>IF(OR(ISERROR(SEARCH("recipiente",A256))=FALSE, ISERROR(SEARCH("serbatoio",A256))=FALSE, ISERROR(SEARCH("scambiatore",A256))=FALSE),
    IF(D256*E256&gt;3000,"IV",
        IF(D256*E256&gt;1000,"III",
            IF(D256*E256&gt;200,"II",
                IF(D256*E256&gt;50,"I","")
            )
        )
    ),
    IF(ISERROR(SEARCH("valvola di sicurezza",A256))=FALSE,"IV","")
)</f>
        <v/>
      </c>
    </row>
    <row r="257" spans="1:7" x14ac:dyDescent="0.3">
      <c r="A257" t="s">
        <v>65</v>
      </c>
      <c r="B257" t="s">
        <v>111</v>
      </c>
      <c r="C257" s="2" t="s">
        <v>174</v>
      </c>
      <c r="D257" s="1">
        <v>1790</v>
      </c>
      <c r="E257" s="1">
        <v>10</v>
      </c>
      <c r="F257" s="5"/>
      <c r="G257" s="1" t="str">
        <f>IF(OR(ISERROR(SEARCH("recipiente",A257))=FALSE, ISERROR(SEARCH("serbatoio",A257))=FALSE, ISERROR(SEARCH("scambiatore",A257))=FALSE),
    IF(D257*E257&gt;3000,"IV",
        IF(D257*E257&gt;1000,"III",
            IF(D257*E257&gt;200,"II",
                IF(D257*E257&gt;50,"I","")
            )
        )
    ),
    IF(ISERROR(SEARCH("valvola di sicurezza",A257))=FALSE,"IV","")
)</f>
        <v/>
      </c>
    </row>
    <row r="258" spans="1:7" x14ac:dyDescent="0.3">
      <c r="A258" t="s">
        <v>65</v>
      </c>
      <c r="B258" t="s">
        <v>111</v>
      </c>
      <c r="C258" s="2" t="s">
        <v>175</v>
      </c>
      <c r="D258" s="1">
        <v>1790</v>
      </c>
      <c r="E258" s="1">
        <v>10</v>
      </c>
      <c r="F258" s="5"/>
      <c r="G258" s="1" t="str">
        <f>IF(OR(ISERROR(SEARCH("recipiente",A258))=FALSE, ISERROR(SEARCH("serbatoio",A258))=FALSE, ISERROR(SEARCH("scambiatore",A258))=FALSE),
    IF(D258*E258&gt;3000,"IV",
        IF(D258*E258&gt;1000,"III",
            IF(D258*E258&gt;200,"II",
                IF(D258*E258&gt;50,"I","")
            )
        )
    ),
    IF(ISERROR(SEARCH("valvola di sicurezza",A258))=FALSE,"IV","")
)</f>
        <v/>
      </c>
    </row>
    <row r="259" spans="1:7" x14ac:dyDescent="0.3">
      <c r="A259" t="s">
        <v>65</v>
      </c>
      <c r="B259" t="s">
        <v>111</v>
      </c>
      <c r="C259" s="2" t="s">
        <v>176</v>
      </c>
      <c r="D259" s="1">
        <v>1790</v>
      </c>
      <c r="E259" s="1">
        <v>10</v>
      </c>
      <c r="F259" s="5"/>
      <c r="G259" s="1" t="str">
        <f>IF(OR(ISERROR(SEARCH("recipiente",A259))=FALSE, ISERROR(SEARCH("serbatoio",A259))=FALSE, ISERROR(SEARCH("scambiatore",A259))=FALSE),
    IF(D259*E259&gt;3000,"IV",
        IF(D259*E259&gt;1000,"III",
            IF(D259*E259&gt;200,"II",
                IF(D259*E259&gt;50,"I","")
            )
        )
    ),
    IF(ISERROR(SEARCH("valvola di sicurezza",A259))=FALSE,"IV","")
)</f>
        <v/>
      </c>
    </row>
    <row r="260" spans="1:7" x14ac:dyDescent="0.3">
      <c r="A260" t="s">
        <v>65</v>
      </c>
      <c r="B260" t="s">
        <v>111</v>
      </c>
      <c r="C260" s="2" t="s">
        <v>177</v>
      </c>
      <c r="D260" s="1">
        <v>1480</v>
      </c>
      <c r="E260" s="1">
        <v>13</v>
      </c>
      <c r="F260" s="5"/>
      <c r="G260" s="1" t="str">
        <f>IF(OR(ISERROR(SEARCH("recipiente",A260))=FALSE, ISERROR(SEARCH("serbatoio",A260))=FALSE, ISERROR(SEARCH("scambiatore",A260))=FALSE),
    IF(D260*E260&gt;3000,"IV",
        IF(D260*E260&gt;1000,"III",
            IF(D260*E260&gt;200,"II",
                IF(D260*E260&gt;50,"I","")
            )
        )
    ),
    IF(ISERROR(SEARCH("valvola di sicurezza",A260))=FALSE,"IV","")
)</f>
        <v/>
      </c>
    </row>
    <row r="261" spans="1:7" x14ac:dyDescent="0.3">
      <c r="A261" t="s">
        <v>65</v>
      </c>
      <c r="B261" t="s">
        <v>111</v>
      </c>
      <c r="C261" s="2" t="s">
        <v>178</v>
      </c>
      <c r="D261" s="1">
        <v>1480</v>
      </c>
      <c r="E261" s="1">
        <v>13</v>
      </c>
      <c r="F261" s="5"/>
      <c r="G261" s="1" t="str">
        <f>IF(OR(ISERROR(SEARCH("recipiente",A261))=FALSE, ISERROR(SEARCH("serbatoio",A261))=FALSE, ISERROR(SEARCH("scambiatore",A261))=FALSE),
    IF(D261*E261&gt;3000,"IV",
        IF(D261*E261&gt;1000,"III",
            IF(D261*E261&gt;200,"II",
                IF(D261*E261&gt;50,"I","")
            )
        )
    ),
    IF(ISERROR(SEARCH("valvola di sicurezza",A261))=FALSE,"IV","")
)</f>
        <v/>
      </c>
    </row>
    <row r="262" spans="1:7" x14ac:dyDescent="0.3">
      <c r="A262" t="s">
        <v>65</v>
      </c>
      <c r="B262" t="s">
        <v>111</v>
      </c>
      <c r="C262" s="2" t="s">
        <v>179</v>
      </c>
      <c r="D262" s="1">
        <v>1480</v>
      </c>
      <c r="E262" s="1">
        <v>13</v>
      </c>
      <c r="F262" s="5"/>
      <c r="G262" s="1" t="str">
        <f>IF(OR(ISERROR(SEARCH("recipiente",A262))=FALSE, ISERROR(SEARCH("serbatoio",A262))=FALSE, ISERROR(SEARCH("scambiatore",A262))=FALSE),
    IF(D262*E262&gt;3000,"IV",
        IF(D262*E262&gt;1000,"III",
            IF(D262*E262&gt;200,"II",
                IF(D262*E262&gt;50,"I","")
            )
        )
    ),
    IF(ISERROR(SEARCH("valvola di sicurezza",A262))=FALSE,"IV","")
)</f>
        <v/>
      </c>
    </row>
    <row r="263" spans="1:7" x14ac:dyDescent="0.3">
      <c r="A263" t="s">
        <v>65</v>
      </c>
      <c r="B263" t="s">
        <v>111</v>
      </c>
      <c r="C263" s="2" t="s">
        <v>180</v>
      </c>
      <c r="D263" s="1">
        <v>2000</v>
      </c>
      <c r="E263" s="1">
        <v>8</v>
      </c>
      <c r="F263" s="5"/>
      <c r="G263" s="1" t="str">
        <f>IF(OR(ISERROR(SEARCH("recipiente",A263))=FALSE, ISERROR(SEARCH("serbatoio",A263))=FALSE, ISERROR(SEARCH("scambiatore",A263))=FALSE),
    IF(D263*E263&gt;3000,"IV",
        IF(D263*E263&gt;1000,"III",
            IF(D263*E263&gt;200,"II",
                IF(D263*E263&gt;50,"I","")
            )
        )
    ),
    IF(ISERROR(SEARCH("valvola di sicurezza",A263))=FALSE,"IV","")
)</f>
        <v/>
      </c>
    </row>
    <row r="264" spans="1:7" x14ac:dyDescent="0.3">
      <c r="A264" t="s">
        <v>65</v>
      </c>
      <c r="B264" t="s">
        <v>111</v>
      </c>
      <c r="C264" s="2" t="s">
        <v>181</v>
      </c>
      <c r="D264" s="1">
        <v>2000</v>
      </c>
      <c r="E264" s="1">
        <v>8</v>
      </c>
      <c r="F264" s="5"/>
      <c r="G264" s="1" t="str">
        <f>IF(OR(ISERROR(SEARCH("recipiente",A264))=FALSE, ISERROR(SEARCH("serbatoio",A264))=FALSE, ISERROR(SEARCH("scambiatore",A264))=FALSE),
    IF(D264*E264&gt;3000,"IV",
        IF(D264*E264&gt;1000,"III",
            IF(D264*E264&gt;200,"II",
                IF(D264*E264&gt;50,"I","")
            )
        )
    ),
    IF(ISERROR(SEARCH("valvola di sicurezza",A264))=FALSE,"IV","")
)</f>
        <v/>
      </c>
    </row>
    <row r="265" spans="1:7" x14ac:dyDescent="0.3">
      <c r="A265" t="s">
        <v>65</v>
      </c>
      <c r="B265" t="s">
        <v>111</v>
      </c>
      <c r="C265" s="2" t="s">
        <v>182</v>
      </c>
      <c r="D265" s="1">
        <v>2000</v>
      </c>
      <c r="E265" s="1">
        <v>8</v>
      </c>
      <c r="F265" s="5"/>
      <c r="G265" s="1" t="str">
        <f>IF(OR(ISERROR(SEARCH("recipiente",A265))=FALSE, ISERROR(SEARCH("serbatoio",A265))=FALSE, ISERROR(SEARCH("scambiatore",A265))=FALSE),
    IF(D265*E265&gt;3000,"IV",
        IF(D265*E265&gt;1000,"III",
            IF(D265*E265&gt;200,"II",
                IF(D265*E265&gt;50,"I","")
            )
        )
    ),
    IF(ISERROR(SEARCH("valvola di sicurezza",A265))=FALSE,"IV","")
)</f>
        <v/>
      </c>
    </row>
    <row r="266" spans="1:7" x14ac:dyDescent="0.3">
      <c r="A266" t="s">
        <v>65</v>
      </c>
      <c r="B266" t="s">
        <v>111</v>
      </c>
      <c r="C266" s="2" t="s">
        <v>183</v>
      </c>
      <c r="D266" s="1">
        <v>485</v>
      </c>
      <c r="E266" s="1">
        <v>10</v>
      </c>
      <c r="F266" s="5"/>
      <c r="G266" s="1" t="str">
        <f>IF(OR(ISERROR(SEARCH("recipiente",A266))=FALSE, ISERROR(SEARCH("serbatoio",A266))=FALSE, ISERROR(SEARCH("scambiatore",A266))=FALSE),
    IF(D266*E266&gt;3000,"IV",
        IF(D266*E266&gt;1000,"III",
            IF(D266*E266&gt;200,"II",
                IF(D266*E266&gt;50,"I","")
            )
        )
    ),
    IF(ISERROR(SEARCH("valvola di sicurezza",A266))=FALSE,"IV","")
)</f>
        <v/>
      </c>
    </row>
    <row r="267" spans="1:7" x14ac:dyDescent="0.3">
      <c r="A267" t="s">
        <v>65</v>
      </c>
      <c r="B267" t="s">
        <v>111</v>
      </c>
      <c r="C267" s="2" t="s">
        <v>184</v>
      </c>
      <c r="D267" s="1">
        <v>600</v>
      </c>
      <c r="E267" s="1">
        <v>8</v>
      </c>
      <c r="F267" s="5"/>
      <c r="G267" s="1" t="str">
        <f>IF(OR(ISERROR(SEARCH("recipiente",A267))=FALSE, ISERROR(SEARCH("serbatoio",A267))=FALSE, ISERROR(SEARCH("scambiatore",A267))=FALSE),
    IF(D267*E267&gt;3000,"IV",
        IF(D267*E267&gt;1000,"III",
            IF(D267*E267&gt;200,"II",
                IF(D267*E267&gt;50,"I","")
            )
        )
    ),
    IF(ISERROR(SEARCH("valvola di sicurezza",A267))=FALSE,"IV","")
)</f>
        <v/>
      </c>
    </row>
    <row r="268" spans="1:7" x14ac:dyDescent="0.3">
      <c r="A268" t="s">
        <v>65</v>
      </c>
      <c r="B268" t="s">
        <v>111</v>
      </c>
      <c r="C268" s="2" t="s">
        <v>185</v>
      </c>
      <c r="D268" s="1">
        <v>670</v>
      </c>
      <c r="E268" s="1">
        <v>10</v>
      </c>
      <c r="F268" s="5"/>
      <c r="G268" s="1" t="str">
        <f>IF(OR(ISERROR(SEARCH("recipiente",A268))=FALSE, ISERROR(SEARCH("serbatoio",A268))=FALSE, ISERROR(SEARCH("scambiatore",A268))=FALSE),
    IF(D268*E268&gt;3000,"IV",
        IF(D268*E268&gt;1000,"III",
            IF(D268*E268&gt;200,"II",
                IF(D268*E268&gt;50,"I","")
            )
        )
    ),
    IF(ISERROR(SEARCH("valvola di sicurezza",A268))=FALSE,"IV","")
)</f>
        <v/>
      </c>
    </row>
    <row r="269" spans="1:7" x14ac:dyDescent="0.3">
      <c r="A269" t="s">
        <v>65</v>
      </c>
      <c r="B269" t="s">
        <v>111</v>
      </c>
      <c r="C269" s="2" t="s">
        <v>186</v>
      </c>
      <c r="D269" s="1">
        <v>670</v>
      </c>
      <c r="E269" s="1">
        <v>10</v>
      </c>
      <c r="F269" s="5"/>
      <c r="G269" s="1" t="str">
        <f>IF(OR(ISERROR(SEARCH("recipiente",A269))=FALSE, ISERROR(SEARCH("serbatoio",A269))=FALSE, ISERROR(SEARCH("scambiatore",A269))=FALSE),
    IF(D269*E269&gt;3000,"IV",
        IF(D269*E269&gt;1000,"III",
            IF(D269*E269&gt;200,"II",
                IF(D269*E269&gt;50,"I","")
            )
        )
    ),
    IF(ISERROR(SEARCH("valvola di sicurezza",A269))=FALSE,"IV","")
)</f>
        <v/>
      </c>
    </row>
    <row r="270" spans="1:7" x14ac:dyDescent="0.3">
      <c r="A270" t="s">
        <v>65</v>
      </c>
      <c r="B270" t="s">
        <v>111</v>
      </c>
      <c r="C270" s="2" t="s">
        <v>187</v>
      </c>
      <c r="D270" s="1">
        <v>670</v>
      </c>
      <c r="E270" s="1">
        <v>10</v>
      </c>
      <c r="F270" s="5"/>
      <c r="G270" s="1" t="str">
        <f>IF(OR(ISERROR(SEARCH("recipiente",A270))=FALSE, ISERROR(SEARCH("serbatoio",A270))=FALSE, ISERROR(SEARCH("scambiatore",A270))=FALSE),
    IF(D270*E270&gt;3000,"IV",
        IF(D270*E270&gt;1000,"III",
            IF(D270*E270&gt;200,"II",
                IF(D270*E270&gt;50,"I","")
            )
        )
    ),
    IF(ISERROR(SEARCH("valvola di sicurezza",A270))=FALSE,"IV","")
)</f>
        <v/>
      </c>
    </row>
    <row r="271" spans="1:7" x14ac:dyDescent="0.3">
      <c r="A271" t="s">
        <v>65</v>
      </c>
      <c r="B271" t="s">
        <v>111</v>
      </c>
      <c r="C271" s="2" t="s">
        <v>188</v>
      </c>
      <c r="D271" s="1">
        <v>820</v>
      </c>
      <c r="E271" s="1">
        <v>8</v>
      </c>
      <c r="F271" s="5"/>
      <c r="G271" s="1" t="str">
        <f>IF(OR(ISERROR(SEARCH("recipiente",A271))=FALSE, ISERROR(SEARCH("serbatoio",A271))=FALSE, ISERROR(SEARCH("scambiatore",A271))=FALSE),
    IF(D271*E271&gt;3000,"IV",
        IF(D271*E271&gt;1000,"III",
            IF(D271*E271&gt;200,"II",
                IF(D271*E271&gt;50,"I","")
            )
        )
    ),
    IF(ISERROR(SEARCH("valvola di sicurezza",A271))=FALSE,"IV","")
)</f>
        <v/>
      </c>
    </row>
    <row r="272" spans="1:7" x14ac:dyDescent="0.3">
      <c r="A272" t="s">
        <v>65</v>
      </c>
      <c r="B272" t="s">
        <v>111</v>
      </c>
      <c r="C272" s="2" t="s">
        <v>189</v>
      </c>
      <c r="D272" s="1">
        <v>820</v>
      </c>
      <c r="E272" s="1">
        <v>8</v>
      </c>
      <c r="F272" s="5"/>
      <c r="G272" s="1" t="str">
        <f>IF(OR(ISERROR(SEARCH("recipiente",A272))=FALSE, ISERROR(SEARCH("serbatoio",A272))=FALSE, ISERROR(SEARCH("scambiatore",A272))=FALSE),
    IF(D272*E272&gt;3000,"IV",
        IF(D272*E272&gt;1000,"III",
            IF(D272*E272&gt;200,"II",
                IF(D272*E272&gt;50,"I","")
            )
        )
    ),
    IF(ISERROR(SEARCH("valvola di sicurezza",A272))=FALSE,"IV","")
)</f>
        <v/>
      </c>
    </row>
    <row r="273" spans="1:7" x14ac:dyDescent="0.3">
      <c r="A273" t="s">
        <v>65</v>
      </c>
      <c r="B273" t="s">
        <v>111</v>
      </c>
      <c r="C273" s="2" t="s">
        <v>190</v>
      </c>
      <c r="D273" s="1">
        <v>820</v>
      </c>
      <c r="E273" s="1">
        <v>8</v>
      </c>
      <c r="F273" s="5"/>
      <c r="G273" s="1" t="str">
        <f>IF(OR(ISERROR(SEARCH("recipiente",A273))=FALSE, ISERROR(SEARCH("serbatoio",A273))=FALSE, ISERROR(SEARCH("scambiatore",A273))=FALSE),
    IF(D273*E273&gt;3000,"IV",
        IF(D273*E273&gt;1000,"III",
            IF(D273*E273&gt;200,"II",
                IF(D273*E273&gt;50,"I","")
            )
        )
    ),
    IF(ISERROR(SEARCH("valvola di sicurezza",A273))=FALSE,"IV","")
)</f>
        <v/>
      </c>
    </row>
    <row r="274" spans="1:7" x14ac:dyDescent="0.3">
      <c r="A274" t="s">
        <v>65</v>
      </c>
      <c r="B274" t="s">
        <v>111</v>
      </c>
      <c r="C274" s="2" t="s">
        <v>191</v>
      </c>
      <c r="D274" s="1">
        <v>2620</v>
      </c>
      <c r="E274" s="1">
        <v>10</v>
      </c>
      <c r="F274" s="5"/>
      <c r="G274" s="1" t="str">
        <f>IF(OR(ISERROR(SEARCH("recipiente",A274))=FALSE, ISERROR(SEARCH("serbatoio",A274))=FALSE, ISERROR(SEARCH("scambiatore",A274))=FALSE),
    IF(D274*E274&gt;3000,"IV",
        IF(D274*E274&gt;1000,"III",
            IF(D274*E274&gt;200,"II",
                IF(D274*E274&gt;50,"I","")
            )
        )
    ),
    IF(ISERROR(SEARCH("valvola di sicurezza",A274))=FALSE,"IV","")
)</f>
        <v/>
      </c>
    </row>
    <row r="275" spans="1:7" x14ac:dyDescent="0.3">
      <c r="A275" t="s">
        <v>65</v>
      </c>
      <c r="B275" t="s">
        <v>111</v>
      </c>
      <c r="C275" s="2" t="s">
        <v>192</v>
      </c>
      <c r="D275" s="1">
        <v>2120</v>
      </c>
      <c r="E275" s="1">
        <v>13</v>
      </c>
      <c r="F275" s="5"/>
      <c r="G275" s="1" t="str">
        <f>IF(OR(ISERROR(SEARCH("recipiente",A275))=FALSE, ISERROR(SEARCH("serbatoio",A275))=FALSE, ISERROR(SEARCH("scambiatore",A275))=FALSE),
    IF(D275*E275&gt;3000,"IV",
        IF(D275*E275&gt;1000,"III",
            IF(D275*E275&gt;200,"II",
                IF(D275*E275&gt;50,"I","")
            )
        )
    ),
    IF(ISERROR(SEARCH("valvola di sicurezza",A275))=FALSE,"IV","")
)</f>
        <v/>
      </c>
    </row>
    <row r="276" spans="1:7" x14ac:dyDescent="0.3">
      <c r="A276" t="s">
        <v>65</v>
      </c>
      <c r="B276" t="s">
        <v>111</v>
      </c>
      <c r="C276" s="2" t="s">
        <v>193</v>
      </c>
      <c r="D276" s="1">
        <v>2910</v>
      </c>
      <c r="E276" s="1">
        <v>8</v>
      </c>
      <c r="F276" s="5"/>
      <c r="G276" s="1" t="str">
        <f>IF(OR(ISERROR(SEARCH("recipiente",A276))=FALSE, ISERROR(SEARCH("serbatoio",A276))=FALSE, ISERROR(SEARCH("scambiatore",A276))=FALSE),
    IF(D276*E276&gt;3000,"IV",
        IF(D276*E276&gt;1000,"III",
            IF(D276*E276&gt;200,"II",
                IF(D276*E276&gt;50,"I","")
            )
        )
    ),
    IF(ISERROR(SEARCH("valvola di sicurezza",A276))=FALSE,"IV","")
)</f>
        <v/>
      </c>
    </row>
    <row r="277" spans="1:7" x14ac:dyDescent="0.3">
      <c r="A277" t="s">
        <v>65</v>
      </c>
      <c r="B277" t="s">
        <v>111</v>
      </c>
      <c r="C277" s="2" t="s">
        <v>194</v>
      </c>
      <c r="D277" s="1">
        <v>3100</v>
      </c>
      <c r="E277" s="1">
        <v>10</v>
      </c>
      <c r="F277" s="5"/>
      <c r="G277" s="1" t="str">
        <f>IF(OR(ISERROR(SEARCH("recipiente",A277))=FALSE, ISERROR(SEARCH("serbatoio",A277))=FALSE, ISERROR(SEARCH("scambiatore",A277))=FALSE),
    IF(D277*E277&gt;3000,"IV",
        IF(D277*E277&gt;1000,"III",
            IF(D277*E277&gt;200,"II",
                IF(D277*E277&gt;50,"I","")
            )
        )
    ),
    IF(ISERROR(SEARCH("valvola di sicurezza",A277))=FALSE,"IV","")
)</f>
        <v/>
      </c>
    </row>
    <row r="278" spans="1:7" x14ac:dyDescent="0.3">
      <c r="A278" t="s">
        <v>65</v>
      </c>
      <c r="B278" t="s">
        <v>111</v>
      </c>
      <c r="C278" s="2" t="s">
        <v>195</v>
      </c>
      <c r="D278" s="1">
        <v>3240</v>
      </c>
      <c r="E278" s="1">
        <v>10</v>
      </c>
      <c r="F278" s="5"/>
      <c r="G278" s="1" t="str">
        <f>IF(OR(ISERROR(SEARCH("recipiente",A278))=FALSE, ISERROR(SEARCH("serbatoio",A278))=FALSE, ISERROR(SEARCH("scambiatore",A278))=FALSE),
    IF(D278*E278&gt;3000,"IV",
        IF(D278*E278&gt;1000,"III",
            IF(D278*E278&gt;200,"II",
                IF(D278*E278&gt;50,"I","")
            )
        )
    ),
    IF(ISERROR(SEARCH("valvola di sicurezza",A278))=FALSE,"IV","")
)</f>
        <v/>
      </c>
    </row>
    <row r="279" spans="1:7" x14ac:dyDescent="0.3">
      <c r="A279" t="s">
        <v>65</v>
      </c>
      <c r="B279" t="s">
        <v>111</v>
      </c>
      <c r="C279" s="2" t="s">
        <v>196</v>
      </c>
      <c r="D279" s="1">
        <v>3690</v>
      </c>
      <c r="E279" s="1">
        <v>8</v>
      </c>
      <c r="F279" s="5"/>
      <c r="G279" s="1" t="str">
        <f>IF(OR(ISERROR(SEARCH("recipiente",A279))=FALSE, ISERROR(SEARCH("serbatoio",A279))=FALSE, ISERROR(SEARCH("scambiatore",A279))=FALSE),
    IF(D279*E279&gt;3000,"IV",
        IF(D279*E279&gt;1000,"III",
            IF(D279*E279&gt;200,"II",
                IF(D279*E279&gt;50,"I","")
            )
        )
    ),
    IF(ISERROR(SEARCH("valvola di sicurezza",A279))=FALSE,"IV","")
)</f>
        <v/>
      </c>
    </row>
    <row r="280" spans="1:7" x14ac:dyDescent="0.3">
      <c r="A280" t="s">
        <v>65</v>
      </c>
      <c r="B280" t="s">
        <v>111</v>
      </c>
      <c r="C280" s="2" t="s">
        <v>197</v>
      </c>
      <c r="D280" s="1">
        <f>82*60</f>
        <v>4920</v>
      </c>
      <c r="E280" s="1">
        <v>8</v>
      </c>
      <c r="F280" s="5"/>
      <c r="G280" s="1" t="str">
        <f>IF(OR(ISERROR(SEARCH("recipiente",A280))=FALSE, ISERROR(SEARCH("serbatoio",A280))=FALSE, ISERROR(SEARCH("scambiatore",A280))=FALSE),
    IF(D280*E280&gt;3000,"IV",
        IF(D280*E280&gt;1000,"III",
            IF(D280*E280&gt;200,"II",
                IF(D280*E280&gt;50,"I","")
            )
        )
    ),
    IF(ISERROR(SEARCH("valvola di sicurezza",A280))=FALSE,"IV","")
)</f>
        <v/>
      </c>
    </row>
    <row r="281" spans="1:7" x14ac:dyDescent="0.3">
      <c r="A281" t="s">
        <v>65</v>
      </c>
      <c r="B281" t="s">
        <v>111</v>
      </c>
      <c r="C281" s="2" t="s">
        <v>198</v>
      </c>
      <c r="D281" s="1">
        <f>72*60</f>
        <v>4320</v>
      </c>
      <c r="E281" s="1">
        <v>10</v>
      </c>
      <c r="F281" s="5"/>
      <c r="G281" s="1" t="str">
        <f>IF(OR(ISERROR(SEARCH("recipiente",A281))=FALSE, ISERROR(SEARCH("serbatoio",A281))=FALSE, ISERROR(SEARCH("scambiatore",A281))=FALSE),
    IF(D281*E281&gt;3000,"IV",
        IF(D281*E281&gt;1000,"III",
            IF(D281*E281&gt;200,"II",
                IF(D281*E281&gt;50,"I","")
            )
        )
    ),
    IF(ISERROR(SEARCH("valvola di sicurezza",A281))=FALSE,"IV","")
)</f>
        <v/>
      </c>
    </row>
    <row r="282" spans="1:7" x14ac:dyDescent="0.3">
      <c r="A282" t="s">
        <v>65</v>
      </c>
      <c r="B282" t="s">
        <v>111</v>
      </c>
      <c r="C282" s="2" t="s">
        <v>199</v>
      </c>
      <c r="D282" s="1">
        <f>58*60</f>
        <v>3480</v>
      </c>
      <c r="E282" s="1">
        <v>13</v>
      </c>
      <c r="F282" s="5"/>
      <c r="G282" s="1" t="str">
        <f>IF(OR(ISERROR(SEARCH("recipiente",A282))=FALSE, ISERROR(SEARCH("serbatoio",A282))=FALSE, ISERROR(SEARCH("scambiatore",A282))=FALSE),
    IF(D282*E282&gt;3000,"IV",
        IF(D282*E282&gt;1000,"III",
            IF(D282*E282&gt;200,"II",
                IF(D282*E282&gt;50,"I","")
            )
        )
    ),
    IF(ISERROR(SEARCH("valvola di sicurezza",A282))=FALSE,"IV","")
)</f>
        <v/>
      </c>
    </row>
    <row r="283" spans="1:7" x14ac:dyDescent="0.3">
      <c r="A283" t="s">
        <v>65</v>
      </c>
      <c r="B283" t="s">
        <v>111</v>
      </c>
      <c r="C283" s="2" t="s">
        <v>200</v>
      </c>
      <c r="D283" s="1">
        <f>102*60</f>
        <v>6120</v>
      </c>
      <c r="E283" s="1">
        <v>8</v>
      </c>
      <c r="F283" s="5"/>
      <c r="G283" s="1" t="str">
        <f>IF(OR(ISERROR(SEARCH("recipiente",A283))=FALSE, ISERROR(SEARCH("serbatoio",A283))=FALSE, ISERROR(SEARCH("scambiatore",A283))=FALSE),
    IF(D283*E283&gt;3000,"IV",
        IF(D283*E283&gt;1000,"III",
            IF(D283*E283&gt;200,"II",
                IF(D283*E283&gt;50,"I","")
            )
        )
    ),
    IF(ISERROR(SEARCH("valvola di sicurezza",A283))=FALSE,"IV","")
)</f>
        <v/>
      </c>
    </row>
    <row r="284" spans="1:7" x14ac:dyDescent="0.3">
      <c r="A284" t="s">
        <v>65</v>
      </c>
      <c r="B284" t="s">
        <v>111</v>
      </c>
      <c r="C284" s="2" t="s">
        <v>201</v>
      </c>
      <c r="D284" s="1">
        <f>92*60</f>
        <v>5520</v>
      </c>
      <c r="E284" s="1">
        <v>10</v>
      </c>
      <c r="F284" s="5"/>
      <c r="G284" s="1" t="str">
        <f>IF(OR(ISERROR(SEARCH("recipiente",A284))=FALSE, ISERROR(SEARCH("serbatoio",A284))=FALSE, ISERROR(SEARCH("scambiatore",A284))=FALSE),
    IF(D284*E284&gt;3000,"IV",
        IF(D284*E284&gt;1000,"III",
            IF(D284*E284&gt;200,"II",
                IF(D284*E284&gt;50,"I","")
            )
        )
    ),
    IF(ISERROR(SEARCH("valvola di sicurezza",A284))=FALSE,"IV","")
)</f>
        <v/>
      </c>
    </row>
    <row r="285" spans="1:7" x14ac:dyDescent="0.3">
      <c r="A285" t="s">
        <v>65</v>
      </c>
      <c r="B285" t="s">
        <v>111</v>
      </c>
      <c r="C285" s="2" t="s">
        <v>202</v>
      </c>
      <c r="D285" s="1">
        <f>71*60</f>
        <v>4260</v>
      </c>
      <c r="E285" s="1">
        <v>13</v>
      </c>
      <c r="F285" s="5"/>
      <c r="G285" s="1" t="str">
        <f>IF(OR(ISERROR(SEARCH("recipiente",A285))=FALSE, ISERROR(SEARCH("serbatoio",A285))=FALSE, ISERROR(SEARCH("scambiatore",A285))=FALSE),
    IF(D285*E285&gt;3000,"IV",
        IF(D285*E285&gt;1000,"III",
            IF(D285*E285&gt;200,"II",
                IF(D285*E285&gt;50,"I","")
            )
        )
    ),
    IF(ISERROR(SEARCH("valvola di sicurezza",A285))=FALSE,"IV","")
)</f>
        <v/>
      </c>
    </row>
    <row r="286" spans="1:7" x14ac:dyDescent="0.3">
      <c r="A286" t="s">
        <v>65</v>
      </c>
      <c r="B286" t="s">
        <v>111</v>
      </c>
      <c r="C286" s="2" t="s">
        <v>203</v>
      </c>
      <c r="D286" s="1">
        <f>124*60</f>
        <v>7440</v>
      </c>
      <c r="E286" s="1">
        <v>8</v>
      </c>
      <c r="F286" s="5"/>
      <c r="G286" s="1" t="str">
        <f>IF(OR(ISERROR(SEARCH("recipiente",A286))=FALSE, ISERROR(SEARCH("serbatoio",A286))=FALSE, ISERROR(SEARCH("scambiatore",A286))=FALSE),
    IF(D286*E286&gt;3000,"IV",
        IF(D286*E286&gt;1000,"III",
            IF(D286*E286&gt;200,"II",
                IF(D286*E286&gt;50,"I","")
            )
        )
    ),
    IF(ISERROR(SEARCH("valvola di sicurezza",A286))=FALSE,"IV","")
)</f>
        <v/>
      </c>
    </row>
    <row r="287" spans="1:7" x14ac:dyDescent="0.3">
      <c r="A287" t="s">
        <v>65</v>
      </c>
      <c r="B287" t="s">
        <v>111</v>
      </c>
      <c r="C287" s="2" t="s">
        <v>204</v>
      </c>
      <c r="D287" s="1">
        <f>111*60</f>
        <v>6660</v>
      </c>
      <c r="E287" s="1">
        <v>10</v>
      </c>
      <c r="F287" s="5"/>
      <c r="G287" s="1" t="str">
        <f>IF(OR(ISERROR(SEARCH("recipiente",A287))=FALSE, ISERROR(SEARCH("serbatoio",A287))=FALSE, ISERROR(SEARCH("scambiatore",A287))=FALSE),
    IF(D287*E287&gt;3000,"IV",
        IF(D287*E287&gt;1000,"III",
            IF(D287*E287&gt;200,"II",
                IF(D287*E287&gt;50,"I","")
            )
        )
    ),
    IF(ISERROR(SEARCH("valvola di sicurezza",A287))=FALSE,"IV","")
)</f>
        <v/>
      </c>
    </row>
    <row r="288" spans="1:7" x14ac:dyDescent="0.3">
      <c r="A288" t="s">
        <v>65</v>
      </c>
      <c r="B288" t="s">
        <v>111</v>
      </c>
      <c r="C288" s="2" t="s">
        <v>205</v>
      </c>
      <c r="D288" s="1">
        <f>95*60</f>
        <v>5700</v>
      </c>
      <c r="E288" s="1">
        <v>13</v>
      </c>
      <c r="F288" s="5"/>
      <c r="G288" s="1" t="str">
        <f>IF(OR(ISERROR(SEARCH("recipiente",A288))=FALSE, ISERROR(SEARCH("serbatoio",A288))=FALSE, ISERROR(SEARCH("scambiatore",A288))=FALSE),
    IF(D288*E288&gt;3000,"IV",
        IF(D288*E288&gt;1000,"III",
            IF(D288*E288&gt;200,"II",
                IF(D288*E288&gt;50,"I","")
            )
        )
    ),
    IF(ISERROR(SEARCH("valvola di sicurezza",A288))=FALSE,"IV","")
)</f>
        <v/>
      </c>
    </row>
    <row r="289" spans="1:7" x14ac:dyDescent="0.3">
      <c r="A289" t="s">
        <v>65</v>
      </c>
      <c r="B289" t="s">
        <v>111</v>
      </c>
      <c r="C289" s="2" t="s">
        <v>206</v>
      </c>
      <c r="D289" s="1">
        <f>145*60</f>
        <v>8700</v>
      </c>
      <c r="E289" s="1">
        <v>8</v>
      </c>
      <c r="F289" s="5"/>
      <c r="G289" s="1" t="str">
        <f>IF(OR(ISERROR(SEARCH("recipiente",A289))=FALSE, ISERROR(SEARCH("serbatoio",A289))=FALSE, ISERROR(SEARCH("scambiatore",A289))=FALSE),
    IF(D289*E289&gt;3000,"IV",
        IF(D289*E289&gt;1000,"III",
            IF(D289*E289&gt;200,"II",
                IF(D289*E289&gt;50,"I","")
            )
        )
    ),
    IF(ISERROR(SEARCH("valvola di sicurezza",A289))=FALSE,"IV","")
)</f>
        <v/>
      </c>
    </row>
    <row r="290" spans="1:7" x14ac:dyDescent="0.3">
      <c r="A290" t="s">
        <v>65</v>
      </c>
      <c r="B290" t="s">
        <v>111</v>
      </c>
      <c r="C290" s="2" t="s">
        <v>207</v>
      </c>
      <c r="D290" s="1">
        <f>132*60</f>
        <v>7920</v>
      </c>
      <c r="E290" s="1">
        <v>10</v>
      </c>
      <c r="F290" s="5"/>
      <c r="G290" s="1" t="str">
        <f>IF(OR(ISERROR(SEARCH("recipiente",A290))=FALSE, ISERROR(SEARCH("serbatoio",A290))=FALSE, ISERROR(SEARCH("scambiatore",A290))=FALSE),
    IF(D290*E290&gt;3000,"IV",
        IF(D290*E290&gt;1000,"III",
            IF(D290*E290&gt;200,"II",
                IF(D290*E290&gt;50,"I","")
            )
        )
    ),
    IF(ISERROR(SEARCH("valvola di sicurezza",A290))=FALSE,"IV","")
)</f>
        <v/>
      </c>
    </row>
    <row r="291" spans="1:7" x14ac:dyDescent="0.3">
      <c r="A291" t="s">
        <v>65</v>
      </c>
      <c r="B291" t="s">
        <v>111</v>
      </c>
      <c r="C291" s="2" t="s">
        <v>208</v>
      </c>
      <c r="D291" s="1">
        <f>118*60</f>
        <v>7080</v>
      </c>
      <c r="E291" s="1">
        <v>13</v>
      </c>
      <c r="F291" s="5"/>
      <c r="G291" s="1" t="str">
        <f>IF(OR(ISERROR(SEARCH("recipiente",A291))=FALSE, ISERROR(SEARCH("serbatoio",A291))=FALSE, ISERROR(SEARCH("scambiatore",A291))=FALSE),
    IF(D291*E291&gt;3000,"IV",
        IF(D291*E291&gt;1000,"III",
            IF(D291*E291&gt;200,"II",
                IF(D291*E291&gt;50,"I","")
            )
        )
    ),
    IF(ISERROR(SEARCH("valvola di sicurezza",A291))=FALSE,"IV","")
)</f>
        <v/>
      </c>
    </row>
    <row r="292" spans="1:7" x14ac:dyDescent="0.3">
      <c r="A292" t="s">
        <v>65</v>
      </c>
      <c r="B292" t="s">
        <v>111</v>
      </c>
      <c r="C292" s="2" t="s">
        <v>209</v>
      </c>
      <c r="D292" s="1">
        <f>192*60</f>
        <v>11520</v>
      </c>
      <c r="E292" s="1">
        <v>8</v>
      </c>
      <c r="F292" s="5"/>
      <c r="G292" s="1" t="str">
        <f>IF(OR(ISERROR(SEARCH("recipiente",A292))=FALSE, ISERROR(SEARCH("serbatoio",A292))=FALSE, ISERROR(SEARCH("scambiatore",A292))=FALSE),
    IF(D292*E292&gt;3000,"IV",
        IF(D292*E292&gt;1000,"III",
            IF(D292*E292&gt;200,"II",
                IF(D292*E292&gt;50,"I","")
            )
        )
    ),
    IF(ISERROR(SEARCH("valvola di sicurezza",A292))=FALSE,"IV","")
)</f>
        <v/>
      </c>
    </row>
    <row r="293" spans="1:7" x14ac:dyDescent="0.3">
      <c r="A293" t="s">
        <v>65</v>
      </c>
      <c r="B293" t="s">
        <v>111</v>
      </c>
      <c r="C293" s="2" t="s">
        <v>210</v>
      </c>
      <c r="D293" s="1">
        <f>168*60</f>
        <v>10080</v>
      </c>
      <c r="E293" s="1">
        <v>10</v>
      </c>
      <c r="F293" s="5"/>
      <c r="G293" s="1" t="str">
        <f>IF(OR(ISERROR(SEARCH("recipiente",A293))=FALSE, ISERROR(SEARCH("serbatoio",A293))=FALSE, ISERROR(SEARCH("scambiatore",A293))=FALSE),
    IF(D293*E293&gt;3000,"IV",
        IF(D293*E293&gt;1000,"III",
            IF(D293*E293&gt;200,"II",
                IF(D293*E293&gt;50,"I","")
            )
        )
    ),
    IF(ISERROR(SEARCH("valvola di sicurezza",A293))=FALSE,"IV","")
)</f>
        <v/>
      </c>
    </row>
    <row r="294" spans="1:7" x14ac:dyDescent="0.3">
      <c r="A294" t="s">
        <v>65</v>
      </c>
      <c r="B294" t="s">
        <v>111</v>
      </c>
      <c r="C294" s="2" t="s">
        <v>211</v>
      </c>
      <c r="D294" s="1">
        <f>148*60</f>
        <v>8880</v>
      </c>
      <c r="E294" s="1">
        <v>13</v>
      </c>
      <c r="F294" s="5"/>
      <c r="G294" s="1" t="str">
        <f>IF(OR(ISERROR(SEARCH("recipiente",A294))=FALSE, ISERROR(SEARCH("serbatoio",A294))=FALSE, ISERROR(SEARCH("scambiatore",A294))=FALSE),
    IF(D294*E294&gt;3000,"IV",
        IF(D294*E294&gt;1000,"III",
            IF(D294*E294&gt;200,"II",
                IF(D294*E294&gt;50,"I","")
            )
        )
    ),
    IF(ISERROR(SEARCH("valvola di sicurezza",A294))=FALSE,"IV","")
)</f>
        <v/>
      </c>
    </row>
    <row r="295" spans="1:7" x14ac:dyDescent="0.3">
      <c r="A295" t="s">
        <v>65</v>
      </c>
      <c r="B295" t="s">
        <v>111</v>
      </c>
      <c r="C295" s="2" t="s">
        <v>212</v>
      </c>
      <c r="D295" s="1">
        <f>82*60</f>
        <v>4920</v>
      </c>
      <c r="E295" s="1"/>
      <c r="F295" s="5"/>
      <c r="G295" s="1" t="str">
        <f>IF(OR(ISERROR(SEARCH("recipiente",A295))=FALSE, ISERROR(SEARCH("serbatoio",A295))=FALSE, ISERROR(SEARCH("scambiatore",A295))=FALSE),
    IF(D295*E295&gt;3000,"IV",
        IF(D295*E295&gt;1000,"III",
            IF(D295*E295&gt;200,"II",
                IF(D295*E295&gt;50,"I","")
            )
        )
    ),
    IF(ISERROR(SEARCH("valvola di sicurezza",A295))=FALSE,"IV","")
)</f>
        <v/>
      </c>
    </row>
    <row r="296" spans="1:7" x14ac:dyDescent="0.3">
      <c r="A296" t="s">
        <v>65</v>
      </c>
      <c r="B296" t="s">
        <v>111</v>
      </c>
      <c r="C296" s="2" t="s">
        <v>213</v>
      </c>
      <c r="D296" s="1">
        <f>102*60</f>
        <v>6120</v>
      </c>
      <c r="E296" s="1"/>
      <c r="F296" s="5"/>
      <c r="G296" s="1" t="str">
        <f>IF(OR(ISERROR(SEARCH("recipiente",A296))=FALSE, ISERROR(SEARCH("serbatoio",A296))=FALSE, ISERROR(SEARCH("scambiatore",A296))=FALSE),
    IF(D296*E296&gt;3000,"IV",
        IF(D296*E296&gt;1000,"III",
            IF(D296*E296&gt;200,"II",
                IF(D296*E296&gt;50,"I","")
            )
        )
    ),
    IF(ISERROR(SEARCH("valvola di sicurezza",A296))=FALSE,"IV","")
)</f>
        <v/>
      </c>
    </row>
    <row r="297" spans="1:7" x14ac:dyDescent="0.3">
      <c r="A297" t="s">
        <v>65</v>
      </c>
      <c r="B297" t="s">
        <v>111</v>
      </c>
      <c r="C297" s="2" t="s">
        <v>214</v>
      </c>
      <c r="D297" s="1">
        <f>120*60</f>
        <v>7200</v>
      </c>
      <c r="E297" s="1">
        <v>10</v>
      </c>
      <c r="F297" s="5"/>
      <c r="G297" s="1" t="str">
        <f>IF(OR(ISERROR(SEARCH("recipiente",A297))=FALSE, ISERROR(SEARCH("serbatoio",A297))=FALSE, ISERROR(SEARCH("scambiatore",A297))=FALSE),
    IF(D297*E297&gt;3000,"IV",
        IF(D297*E297&gt;1000,"III",
            IF(D297*E297&gt;200,"II",
                IF(D297*E297&gt;50,"I","")
            )
        )
    ),
    IF(ISERROR(SEARCH("valvola di sicurezza",A297))=FALSE,"IV","")
)</f>
        <v/>
      </c>
    </row>
    <row r="298" spans="1:7" x14ac:dyDescent="0.3">
      <c r="A298" t="s">
        <v>65</v>
      </c>
      <c r="B298" t="s">
        <v>111</v>
      </c>
      <c r="C298" s="2" t="s">
        <v>215</v>
      </c>
      <c r="D298" s="1">
        <v>846</v>
      </c>
      <c r="E298" s="1">
        <v>8</v>
      </c>
      <c r="F298" s="5"/>
      <c r="G298" s="1" t="str">
        <f>IF(OR(ISERROR(SEARCH("recipiente",A298))=FALSE, ISERROR(SEARCH("serbatoio",A298))=FALSE, ISERROR(SEARCH("scambiatore",A298))=FALSE),
    IF(D298*E298&gt;3000,"IV",
        IF(D298*E298&gt;1000,"III",
            IF(D298*E298&gt;200,"II",
                IF(D298*E298&gt;50,"I","")
            )
        )
    ),
    IF(ISERROR(SEARCH("valvola di sicurezza",A298))=FALSE,"IV","")
)</f>
        <v/>
      </c>
    </row>
    <row r="299" spans="1:7" x14ac:dyDescent="0.3">
      <c r="A299" t="s">
        <v>65</v>
      </c>
      <c r="B299" t="s">
        <v>111</v>
      </c>
      <c r="C299" s="2" t="s">
        <v>216</v>
      </c>
      <c r="D299" s="1">
        <v>696</v>
      </c>
      <c r="E299" s="1">
        <v>10</v>
      </c>
      <c r="F299" s="5"/>
      <c r="G299" s="1" t="str">
        <f>IF(OR(ISERROR(SEARCH("recipiente",A299))=FALSE, ISERROR(SEARCH("serbatoio",A299))=FALSE, ISERROR(SEARCH("scambiatore",A299))=FALSE),
    IF(D299*E299&gt;3000,"IV",
        IF(D299*E299&gt;1000,"III",
            IF(D299*E299&gt;200,"II",
                IF(D299*E299&gt;50,"I","")
            )
        )
    ),
    IF(ISERROR(SEARCH("valvola di sicurezza",A299))=FALSE,"IV","")
)</f>
        <v/>
      </c>
    </row>
    <row r="300" spans="1:7" x14ac:dyDescent="0.3">
      <c r="A300" t="s">
        <v>65</v>
      </c>
      <c r="B300" t="s">
        <v>111</v>
      </c>
      <c r="C300" s="2" t="s">
        <v>217</v>
      </c>
      <c r="D300" s="1">
        <v>1140</v>
      </c>
      <c r="E300" s="1">
        <v>8</v>
      </c>
      <c r="F300" s="5"/>
      <c r="G300" s="1" t="str">
        <f>IF(OR(ISERROR(SEARCH("recipiente",A300))=FALSE, ISERROR(SEARCH("serbatoio",A300))=FALSE, ISERROR(SEARCH("scambiatore",A300))=FALSE),
    IF(D300*E300&gt;3000,"IV",
        IF(D300*E300&gt;1000,"III",
            IF(D300*E300&gt;200,"II",
                IF(D300*E300&gt;50,"I","")
            )
        )
    ),
    IF(ISERROR(SEARCH("valvola di sicurezza",A300))=FALSE,"IV","")
)</f>
        <v/>
      </c>
    </row>
    <row r="301" spans="1:7" x14ac:dyDescent="0.3">
      <c r="A301" t="s">
        <v>65</v>
      </c>
      <c r="B301" t="s">
        <v>111</v>
      </c>
      <c r="C301" s="2" t="s">
        <v>218</v>
      </c>
      <c r="D301" s="1">
        <v>996</v>
      </c>
      <c r="E301" s="1">
        <v>10</v>
      </c>
      <c r="F301" s="5"/>
      <c r="G301" s="1" t="str">
        <f>IF(OR(ISERROR(SEARCH("recipiente",A301))=FALSE, ISERROR(SEARCH("serbatoio",A301))=FALSE, ISERROR(SEARCH("scambiatore",A301))=FALSE),
    IF(D301*E301&gt;3000,"IV",
        IF(D301*E301&gt;1000,"III",
            IF(D301*E301&gt;200,"II",
                IF(D301*E301&gt;50,"I","")
            )
        )
    ),
    IF(ISERROR(SEARCH("valvola di sicurezza",A301))=FALSE,"IV","")
)</f>
        <v/>
      </c>
    </row>
    <row r="302" spans="1:7" x14ac:dyDescent="0.3">
      <c r="A302" t="s">
        <v>65</v>
      </c>
      <c r="B302" t="s">
        <v>111</v>
      </c>
      <c r="C302" s="2" t="s">
        <v>219</v>
      </c>
      <c r="D302" s="1">
        <v>780</v>
      </c>
      <c r="E302" s="1">
        <v>13</v>
      </c>
      <c r="F302" s="5"/>
      <c r="G302" s="1" t="str">
        <f>IF(OR(ISERROR(SEARCH("recipiente",A302))=FALSE, ISERROR(SEARCH("serbatoio",A302))=FALSE, ISERROR(SEARCH("scambiatore",A302))=FALSE),
    IF(D302*E302&gt;3000,"IV",
        IF(D302*E302&gt;1000,"III",
            IF(D302*E302&gt;200,"II",
                IF(D302*E302&gt;50,"I","")
            )
        )
    ),
    IF(ISERROR(SEARCH("valvola di sicurezza",A302))=FALSE,"IV","")
)</f>
        <v/>
      </c>
    </row>
    <row r="303" spans="1:7" x14ac:dyDescent="0.3">
      <c r="A303" t="s">
        <v>65</v>
      </c>
      <c r="B303" t="s">
        <v>111</v>
      </c>
      <c r="C303" s="2" t="s">
        <v>220</v>
      </c>
      <c r="D303" s="1">
        <v>1620</v>
      </c>
      <c r="E303" s="1">
        <v>8</v>
      </c>
      <c r="F303" s="5"/>
      <c r="G303" s="1" t="str">
        <f>IF(OR(ISERROR(SEARCH("recipiente",A303))=FALSE, ISERROR(SEARCH("serbatoio",A303))=FALSE, ISERROR(SEARCH("scambiatore",A303))=FALSE),
    IF(D303*E303&gt;3000,"IV",
        IF(D303*E303&gt;1000,"III",
            IF(D303*E303&gt;200,"II",
                IF(D303*E303&gt;50,"I","")
            )
        )
    ),
    IF(ISERROR(SEARCH("valvola di sicurezza",A303))=FALSE,"IV","")
)</f>
        <v/>
      </c>
    </row>
    <row r="304" spans="1:7" x14ac:dyDescent="0.3">
      <c r="A304" t="s">
        <v>65</v>
      </c>
      <c r="B304" t="s">
        <v>111</v>
      </c>
      <c r="C304" s="2" t="s">
        <v>221</v>
      </c>
      <c r="D304" s="1">
        <v>1413</v>
      </c>
      <c r="E304" s="1">
        <v>10</v>
      </c>
      <c r="F304" s="5"/>
      <c r="G304" s="1" t="str">
        <f>IF(OR(ISERROR(SEARCH("recipiente",A304))=FALSE, ISERROR(SEARCH("serbatoio",A304))=FALSE, ISERROR(SEARCH("scambiatore",A304))=FALSE),
    IF(D304*E304&gt;3000,"IV",
        IF(D304*E304&gt;1000,"III",
            IF(D304*E304&gt;200,"II",
                IF(D304*E304&gt;50,"I","")
            )
        )
    ),
    IF(ISERROR(SEARCH("valvola di sicurezza",A304))=FALSE,"IV","")
)</f>
        <v/>
      </c>
    </row>
    <row r="305" spans="1:7" x14ac:dyDescent="0.3">
      <c r="A305" t="s">
        <v>65</v>
      </c>
      <c r="B305" t="s">
        <v>111</v>
      </c>
      <c r="C305" s="2" t="s">
        <v>222</v>
      </c>
      <c r="D305" s="1">
        <v>1152</v>
      </c>
      <c r="E305" s="1">
        <v>13</v>
      </c>
      <c r="F305" s="5"/>
      <c r="G305" s="1" t="str">
        <f>IF(OR(ISERROR(SEARCH("recipiente",A305))=FALSE, ISERROR(SEARCH("serbatoio",A305))=FALSE, ISERROR(SEARCH("scambiatore",A305))=FALSE),
    IF(D305*E305&gt;3000,"IV",
        IF(D305*E305&gt;1000,"III",
            IF(D305*E305&gt;200,"II",
                IF(D305*E305&gt;50,"I","")
            )
        )
    ),
    IF(ISERROR(SEARCH("valvola di sicurezza",A305))=FALSE,"IV","")
)</f>
        <v/>
      </c>
    </row>
    <row r="306" spans="1:7" x14ac:dyDescent="0.3">
      <c r="A306" t="s">
        <v>65</v>
      </c>
      <c r="B306" t="s">
        <v>111</v>
      </c>
      <c r="C306" s="2" t="s">
        <v>223</v>
      </c>
      <c r="D306" s="1">
        <v>1860</v>
      </c>
      <c r="E306" s="1">
        <v>8</v>
      </c>
      <c r="F306" s="5"/>
      <c r="G306" s="1" t="str">
        <f>IF(OR(ISERROR(SEARCH("recipiente",A306))=FALSE, ISERROR(SEARCH("serbatoio",A306))=FALSE, ISERROR(SEARCH("scambiatore",A306))=FALSE),
    IF(D306*E306&gt;3000,"IV",
        IF(D306*E306&gt;1000,"III",
            IF(D306*E306&gt;200,"II",
                IF(D306*E306&gt;50,"I","")
            )
        )
    ),
    IF(ISERROR(SEARCH("valvola di sicurezza",A306))=FALSE,"IV","")
)</f>
        <v/>
      </c>
    </row>
    <row r="307" spans="1:7" x14ac:dyDescent="0.3">
      <c r="A307" t="s">
        <v>65</v>
      </c>
      <c r="B307" t="s">
        <v>111</v>
      </c>
      <c r="C307" s="2" t="s">
        <v>224</v>
      </c>
      <c r="D307" s="1">
        <v>1680</v>
      </c>
      <c r="E307" s="1">
        <v>10</v>
      </c>
      <c r="F307" s="5"/>
      <c r="G307" s="1" t="str">
        <f>IF(OR(ISERROR(SEARCH("recipiente",A307))=FALSE, ISERROR(SEARCH("serbatoio",A307))=FALSE, ISERROR(SEARCH("scambiatore",A307))=FALSE),
    IF(D307*E307&gt;3000,"IV",
        IF(D307*E307&gt;1000,"III",
            IF(D307*E307&gt;200,"II",
                IF(D307*E307&gt;50,"I","")
            )
        )
    ),
    IF(ISERROR(SEARCH("valvola di sicurezza",A307))=FALSE,"IV","")
)</f>
        <v/>
      </c>
    </row>
    <row r="308" spans="1:7" x14ac:dyDescent="0.3">
      <c r="A308" t="s">
        <v>65</v>
      </c>
      <c r="B308" t="s">
        <v>111</v>
      </c>
      <c r="C308" s="2" t="s">
        <v>225</v>
      </c>
      <c r="D308" s="1">
        <v>1332</v>
      </c>
      <c r="E308" s="1">
        <v>13</v>
      </c>
      <c r="F308" s="5"/>
      <c r="G308" s="1" t="str">
        <f>IF(OR(ISERROR(SEARCH("recipiente",A308))=FALSE, ISERROR(SEARCH("serbatoio",A308))=FALSE, ISERROR(SEARCH("scambiatore",A308))=FALSE),
    IF(D308*E308&gt;3000,"IV",
        IF(D308*E308&gt;1000,"III",
            IF(D308*E308&gt;200,"II",
                IF(D308*E308&gt;50,"I","")
            )
        )
    ),
    IF(ISERROR(SEARCH("valvola di sicurezza",A308))=FALSE,"IV","")
)</f>
        <v/>
      </c>
    </row>
    <row r="309" spans="1:7" x14ac:dyDescent="0.3">
      <c r="A309" t="s">
        <v>65</v>
      </c>
      <c r="B309" t="s">
        <v>111</v>
      </c>
      <c r="C309" s="2" t="s">
        <v>226</v>
      </c>
      <c r="D309" s="1">
        <v>920</v>
      </c>
      <c r="E309" s="1">
        <v>10</v>
      </c>
      <c r="F309" s="5"/>
      <c r="G309" s="1" t="str">
        <f>IF(OR(ISERROR(SEARCH("recipiente",A309))=FALSE, ISERROR(SEARCH("serbatoio",A309))=FALSE, ISERROR(SEARCH("scambiatore",A309))=FALSE),
    IF(D309*E309&gt;3000,"IV",
        IF(D309*E309&gt;1000,"III",
            IF(D309*E309&gt;200,"II",
                IF(D309*E309&gt;50,"I","")
            )
        )
    ),
    IF(ISERROR(SEARCH("valvola di sicurezza",A309))=FALSE,"IV","")
)</f>
        <v/>
      </c>
    </row>
    <row r="310" spans="1:7" x14ac:dyDescent="0.3">
      <c r="A310" t="s">
        <v>65</v>
      </c>
      <c r="B310" t="s">
        <v>111</v>
      </c>
      <c r="C310" s="2" t="s">
        <v>227</v>
      </c>
      <c r="D310" s="1">
        <v>920</v>
      </c>
      <c r="E310" s="1">
        <v>10</v>
      </c>
      <c r="F310" s="5"/>
      <c r="G310" s="1" t="str">
        <f>IF(OR(ISERROR(SEARCH("recipiente",A310))=FALSE, ISERROR(SEARCH("serbatoio",A310))=FALSE, ISERROR(SEARCH("scambiatore",A310))=FALSE),
    IF(D310*E310&gt;3000,"IV",
        IF(D310*E310&gt;1000,"III",
            IF(D310*E310&gt;200,"II",
                IF(D310*E310&gt;50,"I","")
            )
        )
    ),
    IF(ISERROR(SEARCH("valvola di sicurezza",A310))=FALSE,"IV","")
)</f>
        <v/>
      </c>
    </row>
    <row r="311" spans="1:7" x14ac:dyDescent="0.3">
      <c r="A311" t="s">
        <v>65</v>
      </c>
      <c r="B311" t="s">
        <v>111</v>
      </c>
      <c r="C311" s="2" t="s">
        <v>228</v>
      </c>
      <c r="D311" s="1">
        <v>920</v>
      </c>
      <c r="E311" s="1">
        <v>10</v>
      </c>
      <c r="F311" s="5"/>
      <c r="G311" s="1" t="str">
        <f>IF(OR(ISERROR(SEARCH("recipiente",A311))=FALSE, ISERROR(SEARCH("serbatoio",A311))=FALSE, ISERROR(SEARCH("scambiatore",A311))=FALSE),
    IF(D311*E311&gt;3000,"IV",
        IF(D311*E311&gt;1000,"III",
            IF(D311*E311&gt;200,"II",
                IF(D311*E311&gt;50,"I","")
            )
        )
    ),
    IF(ISERROR(SEARCH("valvola di sicurezza",A311))=FALSE,"IV","")
)</f>
        <v/>
      </c>
    </row>
    <row r="312" spans="1:7" x14ac:dyDescent="0.3">
      <c r="A312" t="s">
        <v>65</v>
      </c>
      <c r="B312" t="s">
        <v>111</v>
      </c>
      <c r="C312" s="2" t="s">
        <v>229</v>
      </c>
      <c r="D312" s="1">
        <v>557</v>
      </c>
      <c r="E312" s="1">
        <v>13</v>
      </c>
      <c r="F312" s="5"/>
      <c r="G312" s="1" t="str">
        <f>IF(OR(ISERROR(SEARCH("recipiente",A312))=FALSE, ISERROR(SEARCH("serbatoio",A312))=FALSE, ISERROR(SEARCH("scambiatore",A312))=FALSE),
    IF(D312*E312&gt;3000,"IV",
        IF(D312*E312&gt;1000,"III",
            IF(D312*E312&gt;200,"II",
                IF(D312*E312&gt;50,"I","")
            )
        )
    ),
    IF(ISERROR(SEARCH("valvola di sicurezza",A312))=FALSE,"IV","")
)</f>
        <v/>
      </c>
    </row>
    <row r="313" spans="1:7" x14ac:dyDescent="0.3">
      <c r="A313" t="s">
        <v>65</v>
      </c>
      <c r="B313" t="s">
        <v>111</v>
      </c>
      <c r="C313" s="2" t="s">
        <v>230</v>
      </c>
      <c r="D313" s="1">
        <v>557</v>
      </c>
      <c r="E313" s="1">
        <v>13</v>
      </c>
      <c r="F313" s="5"/>
      <c r="G313" s="1" t="str">
        <f>IF(OR(ISERROR(SEARCH("recipiente",A313))=FALSE, ISERROR(SEARCH("serbatoio",A313))=FALSE, ISERROR(SEARCH("scambiatore",A313))=FALSE),
    IF(D313*E313&gt;3000,"IV",
        IF(D313*E313&gt;1000,"III",
            IF(D313*E313&gt;200,"II",
                IF(D313*E313&gt;50,"I","")
            )
        )
    ),
    IF(ISERROR(SEARCH("valvola di sicurezza",A313))=FALSE,"IV","")
)</f>
        <v/>
      </c>
    </row>
    <row r="314" spans="1:7" x14ac:dyDescent="0.3">
      <c r="A314" t="s">
        <v>65</v>
      </c>
      <c r="B314" t="s">
        <v>111</v>
      </c>
      <c r="C314" s="2" t="s">
        <v>231</v>
      </c>
      <c r="D314" s="1">
        <v>557</v>
      </c>
      <c r="E314" s="1">
        <v>13</v>
      </c>
      <c r="F314" s="5"/>
      <c r="G314" s="1" t="str">
        <f>IF(OR(ISERROR(SEARCH("recipiente",A314))=FALSE, ISERROR(SEARCH("serbatoio",A314))=FALSE, ISERROR(SEARCH("scambiatore",A314))=FALSE),
    IF(D314*E314&gt;3000,"IV",
        IF(D314*E314&gt;1000,"III",
            IF(D314*E314&gt;200,"II",
                IF(D314*E314&gt;50,"I","")
            )
        )
    ),
    IF(ISERROR(SEARCH("valvola di sicurezza",A314))=FALSE,"IV","")
)</f>
        <v/>
      </c>
    </row>
    <row r="315" spans="1:7" x14ac:dyDescent="0.3">
      <c r="A315" t="s">
        <v>65</v>
      </c>
      <c r="B315" t="s">
        <v>111</v>
      </c>
      <c r="C315" s="2" t="s">
        <v>232</v>
      </c>
      <c r="D315" s="1">
        <v>1008</v>
      </c>
      <c r="E315" s="1">
        <v>8</v>
      </c>
      <c r="F315" s="5"/>
      <c r="G315" s="1" t="str">
        <f>IF(OR(ISERROR(SEARCH("recipiente",A315))=FALSE, ISERROR(SEARCH("serbatoio",A315))=FALSE, ISERROR(SEARCH("scambiatore",A315))=FALSE),
    IF(D315*E315&gt;3000,"IV",
        IF(D315*E315&gt;1000,"III",
            IF(D315*E315&gt;200,"II",
                IF(D315*E315&gt;50,"I","")
            )
        )
    ),
    IF(ISERROR(SEARCH("valvola di sicurezza",A315))=FALSE,"IV","")
)</f>
        <v/>
      </c>
    </row>
    <row r="316" spans="1:7" x14ac:dyDescent="0.3">
      <c r="A316" t="s">
        <v>65</v>
      </c>
      <c r="B316" t="s">
        <v>111</v>
      </c>
      <c r="C316" s="2" t="s">
        <v>233</v>
      </c>
      <c r="D316" s="1">
        <v>1008</v>
      </c>
      <c r="E316" s="1">
        <v>8</v>
      </c>
      <c r="F316" s="5"/>
      <c r="G316" s="1" t="str">
        <f>IF(OR(ISERROR(SEARCH("recipiente",A316))=FALSE, ISERROR(SEARCH("serbatoio",A316))=FALSE, ISERROR(SEARCH("scambiatore",A316))=FALSE),
    IF(D316*E316&gt;3000,"IV",
        IF(D316*E316&gt;1000,"III",
            IF(D316*E316&gt;200,"II",
                IF(D316*E316&gt;50,"I","")
            )
        )
    ),
    IF(ISERROR(SEARCH("valvola di sicurezza",A316))=FALSE,"IV","")
)</f>
        <v/>
      </c>
    </row>
    <row r="317" spans="1:7" x14ac:dyDescent="0.3">
      <c r="A317" t="s">
        <v>65</v>
      </c>
      <c r="B317" t="s">
        <v>111</v>
      </c>
      <c r="C317" s="2" t="s">
        <v>234</v>
      </c>
      <c r="D317" s="1">
        <v>1008</v>
      </c>
      <c r="E317" s="1">
        <v>8</v>
      </c>
      <c r="F317" s="5"/>
      <c r="G317" s="1" t="str">
        <f>IF(OR(ISERROR(SEARCH("recipiente",A317))=FALSE, ISERROR(SEARCH("serbatoio",A317))=FALSE, ISERROR(SEARCH("scambiatore",A317))=FALSE),
    IF(D317*E317&gt;3000,"IV",
        IF(D317*E317&gt;1000,"III",
            IF(D317*E317&gt;200,"II",
                IF(D317*E317&gt;50,"I","")
            )
        )
    ),
    IF(ISERROR(SEARCH("valvola di sicurezza",A317))=FALSE,"IV","")
)</f>
        <v/>
      </c>
    </row>
    <row r="318" spans="1:7" x14ac:dyDescent="0.3">
      <c r="A318" t="s">
        <v>65</v>
      </c>
      <c r="B318" t="s">
        <v>111</v>
      </c>
      <c r="C318" s="2" t="s">
        <v>235</v>
      </c>
      <c r="D318" s="1">
        <v>1310</v>
      </c>
      <c r="E318" s="1">
        <v>10</v>
      </c>
      <c r="F318" s="5"/>
      <c r="G318" s="1" t="str">
        <f>IF(OR(ISERROR(SEARCH("recipiente",A318))=FALSE, ISERROR(SEARCH("serbatoio",A318))=FALSE, ISERROR(SEARCH("scambiatore",A318))=FALSE),
    IF(D318*E318&gt;3000,"IV",
        IF(D318*E318&gt;1000,"III",
            IF(D318*E318&gt;200,"II",
                IF(D318*E318&gt;50,"I","")
            )
        )
    ),
    IF(ISERROR(SEARCH("valvola di sicurezza",A318))=FALSE,"IV","")
)</f>
        <v/>
      </c>
    </row>
    <row r="319" spans="1:7" x14ac:dyDescent="0.3">
      <c r="A319" t="s">
        <v>65</v>
      </c>
      <c r="B319" t="s">
        <v>111</v>
      </c>
      <c r="C319" s="2" t="s">
        <v>236</v>
      </c>
      <c r="D319" s="1">
        <v>1310</v>
      </c>
      <c r="E319" s="1">
        <v>10</v>
      </c>
      <c r="F319" s="5"/>
      <c r="G319" s="1" t="str">
        <f>IF(OR(ISERROR(SEARCH("recipiente",A319))=FALSE, ISERROR(SEARCH("serbatoio",A319))=FALSE, ISERROR(SEARCH("scambiatore",A319))=FALSE),
    IF(D319*E319&gt;3000,"IV",
        IF(D319*E319&gt;1000,"III",
            IF(D319*E319&gt;200,"II",
                IF(D319*E319&gt;50,"I","")
            )
        )
    ),
    IF(ISERROR(SEARCH("valvola di sicurezza",A319))=FALSE,"IV","")
)</f>
        <v/>
      </c>
    </row>
    <row r="320" spans="1:7" x14ac:dyDescent="0.3">
      <c r="A320" t="s">
        <v>65</v>
      </c>
      <c r="B320" t="s">
        <v>111</v>
      </c>
      <c r="C320" s="2" t="s">
        <v>237</v>
      </c>
      <c r="D320" s="1">
        <v>1310</v>
      </c>
      <c r="E320" s="1">
        <v>10</v>
      </c>
      <c r="F320" s="5"/>
      <c r="G320" s="1" t="str">
        <f>IF(OR(ISERROR(SEARCH("recipiente",A320))=FALSE, ISERROR(SEARCH("serbatoio",A320))=FALSE, ISERROR(SEARCH("scambiatore",A320))=FALSE),
    IF(D320*E320&gt;3000,"IV",
        IF(D320*E320&gt;1000,"III",
            IF(D320*E320&gt;200,"II",
                IF(D320*E320&gt;50,"I","")
            )
        )
    ),
    IF(ISERROR(SEARCH("valvola di sicurezza",A320))=FALSE,"IV","")
)</f>
        <v/>
      </c>
    </row>
    <row r="321" spans="1:7" x14ac:dyDescent="0.3">
      <c r="A321" t="s">
        <v>65</v>
      </c>
      <c r="B321" t="s">
        <v>111</v>
      </c>
      <c r="C321" s="2" t="s">
        <v>238</v>
      </c>
      <c r="D321" s="1">
        <v>887</v>
      </c>
      <c r="E321" s="1">
        <v>13</v>
      </c>
      <c r="F321" s="5"/>
      <c r="G321" s="1" t="str">
        <f>IF(OR(ISERROR(SEARCH("recipiente",A321))=FALSE, ISERROR(SEARCH("serbatoio",A321))=FALSE, ISERROR(SEARCH("scambiatore",A321))=FALSE),
    IF(D321*E321&gt;3000,"IV",
        IF(D321*E321&gt;1000,"III",
            IF(D321*E321&gt;200,"II",
                IF(D321*E321&gt;50,"I","")
            )
        )
    ),
    IF(ISERROR(SEARCH("valvola di sicurezza",A321))=FALSE,"IV","")
)</f>
        <v/>
      </c>
    </row>
    <row r="322" spans="1:7" x14ac:dyDescent="0.3">
      <c r="A322" t="s">
        <v>65</v>
      </c>
      <c r="B322" t="s">
        <v>111</v>
      </c>
      <c r="C322" s="2" t="s">
        <v>239</v>
      </c>
      <c r="D322" s="1">
        <v>887</v>
      </c>
      <c r="E322" s="1">
        <v>13</v>
      </c>
      <c r="F322" s="5"/>
      <c r="G322" s="1" t="str">
        <f>IF(OR(ISERROR(SEARCH("recipiente",A322))=FALSE, ISERROR(SEARCH("serbatoio",A322))=FALSE, ISERROR(SEARCH("scambiatore",A322))=FALSE),
    IF(D322*E322&gt;3000,"IV",
        IF(D322*E322&gt;1000,"III",
            IF(D322*E322&gt;200,"II",
                IF(D322*E322&gt;50,"I","")
            )
        )
    ),
    IF(ISERROR(SEARCH("valvola di sicurezza",A322))=FALSE,"IV","")
)</f>
        <v/>
      </c>
    </row>
    <row r="323" spans="1:7" x14ac:dyDescent="0.3">
      <c r="A323" t="s">
        <v>65</v>
      </c>
      <c r="B323" t="s">
        <v>111</v>
      </c>
      <c r="C323" s="2" t="s">
        <v>240</v>
      </c>
      <c r="D323" s="1">
        <v>887</v>
      </c>
      <c r="E323" s="1">
        <v>13</v>
      </c>
      <c r="F323" s="5"/>
      <c r="G323" s="1" t="str">
        <f>IF(OR(ISERROR(SEARCH("recipiente",A323))=FALSE, ISERROR(SEARCH("serbatoio",A323))=FALSE, ISERROR(SEARCH("scambiatore",A323))=FALSE),
    IF(D323*E323&gt;3000,"IV",
        IF(D323*E323&gt;1000,"III",
            IF(D323*E323&gt;200,"II",
                IF(D323*E323&gt;50,"I","")
            )
        )
    ),
    IF(ISERROR(SEARCH("valvola di sicurezza",A323))=FALSE,"IV","")
)</f>
        <v/>
      </c>
    </row>
    <row r="324" spans="1:7" x14ac:dyDescent="0.3">
      <c r="A324" t="s">
        <v>65</v>
      </c>
      <c r="B324" t="s">
        <v>111</v>
      </c>
      <c r="C324" s="2" t="s">
        <v>241</v>
      </c>
      <c r="D324" s="1">
        <v>1428</v>
      </c>
      <c r="E324" s="1">
        <v>8</v>
      </c>
      <c r="F324" s="5"/>
      <c r="G324" s="1" t="str">
        <f>IF(OR(ISERROR(SEARCH("recipiente",A324))=FALSE, ISERROR(SEARCH("serbatoio",A324))=FALSE, ISERROR(SEARCH("scambiatore",A324))=FALSE),
    IF(D324*E324&gt;3000,"IV",
        IF(D324*E324&gt;1000,"III",
            IF(D324*E324&gt;200,"II",
                IF(D324*E324&gt;50,"I","")
            )
        )
    ),
    IF(ISERROR(SEARCH("valvola di sicurezza",A324))=FALSE,"IV","")
)</f>
        <v/>
      </c>
    </row>
    <row r="325" spans="1:7" x14ac:dyDescent="0.3">
      <c r="A325" t="s">
        <v>65</v>
      </c>
      <c r="B325" t="s">
        <v>111</v>
      </c>
      <c r="C325" s="2" t="s">
        <v>242</v>
      </c>
      <c r="D325" s="1">
        <v>1428</v>
      </c>
      <c r="E325" s="1">
        <v>8</v>
      </c>
      <c r="F325" s="5"/>
      <c r="G325" s="1" t="str">
        <f>IF(OR(ISERROR(SEARCH("recipiente",A325))=FALSE, ISERROR(SEARCH("serbatoio",A325))=FALSE, ISERROR(SEARCH("scambiatore",A325))=FALSE),
    IF(D325*E325&gt;3000,"IV",
        IF(D325*E325&gt;1000,"III",
            IF(D325*E325&gt;200,"II",
                IF(D325*E325&gt;50,"I","")
            )
        )
    ),
    IF(ISERROR(SEARCH("valvola di sicurezza",A325))=FALSE,"IV","")
)</f>
        <v/>
      </c>
    </row>
    <row r="326" spans="1:7" x14ac:dyDescent="0.3">
      <c r="A326" t="s">
        <v>65</v>
      </c>
      <c r="B326" t="s">
        <v>111</v>
      </c>
      <c r="C326" s="2" t="s">
        <v>243</v>
      </c>
      <c r="D326" s="1">
        <v>1428</v>
      </c>
      <c r="E326" s="1">
        <v>8</v>
      </c>
      <c r="F326" s="5"/>
      <c r="G326" s="1" t="str">
        <f>IF(OR(ISERROR(SEARCH("recipiente",A326))=FALSE, ISERROR(SEARCH("serbatoio",A326))=FALSE, ISERROR(SEARCH("scambiatore",A326))=FALSE),
    IF(D326*E326&gt;3000,"IV",
        IF(D326*E326&gt;1000,"III",
            IF(D326*E326&gt;200,"II",
                IF(D326*E326&gt;50,"I","")
            )
        )
    ),
    IF(ISERROR(SEARCH("valvola di sicurezza",A326))=FALSE,"IV","")
)</f>
        <v/>
      </c>
    </row>
    <row r="327" spans="1:7" x14ac:dyDescent="0.3">
      <c r="A327" t="s">
        <v>65</v>
      </c>
      <c r="B327" t="s">
        <v>111</v>
      </c>
      <c r="C327" s="2" t="s">
        <v>244</v>
      </c>
      <c r="D327" s="1">
        <v>1650</v>
      </c>
      <c r="E327" s="1">
        <v>10</v>
      </c>
      <c r="F327" s="5"/>
      <c r="G327" s="1" t="str">
        <f>IF(OR(ISERROR(SEARCH("recipiente",A327))=FALSE, ISERROR(SEARCH("serbatoio",A327))=FALSE, ISERROR(SEARCH("scambiatore",A327))=FALSE),
    IF(D327*E327&gt;3000,"IV",
        IF(D327*E327&gt;1000,"III",
            IF(D327*E327&gt;200,"II",
                IF(D327*E327&gt;50,"I","")
            )
        )
    ),
    IF(ISERROR(SEARCH("valvola di sicurezza",A327))=FALSE,"IV","")
)</f>
        <v/>
      </c>
    </row>
    <row r="328" spans="1:7" x14ac:dyDescent="0.3">
      <c r="A328" t="s">
        <v>65</v>
      </c>
      <c r="B328" t="s">
        <v>111</v>
      </c>
      <c r="C328" s="2" t="s">
        <v>245</v>
      </c>
      <c r="D328" s="1">
        <v>1650</v>
      </c>
      <c r="E328" s="1">
        <v>10</v>
      </c>
      <c r="F328" s="5"/>
      <c r="G328" s="1" t="str">
        <f>IF(OR(ISERROR(SEARCH("recipiente",A328))=FALSE, ISERROR(SEARCH("serbatoio",A328))=FALSE, ISERROR(SEARCH("scambiatore",A328))=FALSE),
    IF(D328*E328&gt;3000,"IV",
        IF(D328*E328&gt;1000,"III",
            IF(D328*E328&gt;200,"II",
                IF(D328*E328&gt;50,"I","")
            )
        )
    ),
    IF(ISERROR(SEARCH("valvola di sicurezza",A328))=FALSE,"IV","")
)</f>
        <v/>
      </c>
    </row>
    <row r="329" spans="1:7" x14ac:dyDescent="0.3">
      <c r="A329" t="s">
        <v>65</v>
      </c>
      <c r="B329" t="s">
        <v>111</v>
      </c>
      <c r="C329" s="2" t="s">
        <v>246</v>
      </c>
      <c r="D329" s="1">
        <v>1650</v>
      </c>
      <c r="E329" s="1">
        <v>10</v>
      </c>
      <c r="F329" s="5"/>
      <c r="G329" s="1" t="str">
        <f>IF(OR(ISERROR(SEARCH("recipiente",A329))=FALSE, ISERROR(SEARCH("serbatoio",A329))=FALSE, ISERROR(SEARCH("scambiatore",A329))=FALSE),
    IF(D329*E329&gt;3000,"IV",
        IF(D329*E329&gt;1000,"III",
            IF(D329*E329&gt;200,"II",
                IF(D329*E329&gt;50,"I","")
            )
        )
    ),
    IF(ISERROR(SEARCH("valvola di sicurezza",A329))=FALSE,"IV","")
)</f>
        <v/>
      </c>
    </row>
    <row r="330" spans="1:7" x14ac:dyDescent="0.3">
      <c r="A330" t="s">
        <v>65</v>
      </c>
      <c r="B330" t="s">
        <v>111</v>
      </c>
      <c r="C330" s="2" t="s">
        <v>247</v>
      </c>
      <c r="D330" s="1">
        <v>1190</v>
      </c>
      <c r="E330" s="1">
        <v>13</v>
      </c>
      <c r="F330" s="5"/>
      <c r="G330" s="1" t="str">
        <f>IF(OR(ISERROR(SEARCH("recipiente",A330))=FALSE, ISERROR(SEARCH("serbatoio",A330))=FALSE, ISERROR(SEARCH("scambiatore",A330))=FALSE),
    IF(D330*E330&gt;3000,"IV",
        IF(D330*E330&gt;1000,"III",
            IF(D330*E330&gt;200,"II",
                IF(D330*E330&gt;50,"I","")
            )
        )
    ),
    IF(ISERROR(SEARCH("valvola di sicurezza",A330))=FALSE,"IV","")
)</f>
        <v/>
      </c>
    </row>
    <row r="331" spans="1:7" x14ac:dyDescent="0.3">
      <c r="A331" t="s">
        <v>65</v>
      </c>
      <c r="B331" t="s">
        <v>111</v>
      </c>
      <c r="C331" s="2" t="s">
        <v>248</v>
      </c>
      <c r="D331" s="1">
        <v>1190</v>
      </c>
      <c r="E331" s="1">
        <v>13</v>
      </c>
      <c r="F331" s="5"/>
      <c r="G331" s="1" t="str">
        <f>IF(OR(ISERROR(SEARCH("recipiente",A331))=FALSE, ISERROR(SEARCH("serbatoio",A331))=FALSE, ISERROR(SEARCH("scambiatore",A331))=FALSE),
    IF(D331*E331&gt;3000,"IV",
        IF(D331*E331&gt;1000,"III",
            IF(D331*E331&gt;200,"II",
                IF(D331*E331&gt;50,"I","")
            )
        )
    ),
    IF(ISERROR(SEARCH("valvola di sicurezza",A331))=FALSE,"IV","")
)</f>
        <v/>
      </c>
    </row>
    <row r="332" spans="1:7" x14ac:dyDescent="0.3">
      <c r="A332" t="s">
        <v>65</v>
      </c>
      <c r="B332" t="s">
        <v>111</v>
      </c>
      <c r="C332" s="2" t="s">
        <v>249</v>
      </c>
      <c r="D332" s="1">
        <v>1190</v>
      </c>
      <c r="E332" s="1">
        <v>13</v>
      </c>
      <c r="F332" s="5"/>
      <c r="G332" s="1" t="str">
        <f>IF(OR(ISERROR(SEARCH("recipiente",A332))=FALSE, ISERROR(SEARCH("serbatoio",A332))=FALSE, ISERROR(SEARCH("scambiatore",A332))=FALSE),
    IF(D332*E332&gt;3000,"IV",
        IF(D332*E332&gt;1000,"III",
            IF(D332*E332&gt;200,"II",
                IF(D332*E332&gt;50,"I","")
            )
        )
    ),
    IF(ISERROR(SEARCH("valvola di sicurezza",A332))=FALSE,"IV","")
)</f>
        <v/>
      </c>
    </row>
    <row r="333" spans="1:7" x14ac:dyDescent="0.3">
      <c r="A333" t="s">
        <v>65</v>
      </c>
      <c r="B333" t="s">
        <v>111</v>
      </c>
      <c r="C333" s="2" t="s">
        <v>250</v>
      </c>
      <c r="D333" s="1">
        <v>1750</v>
      </c>
      <c r="E333" s="1">
        <v>8</v>
      </c>
      <c r="F333" s="5"/>
      <c r="G333" s="1" t="str">
        <f>IF(OR(ISERROR(SEARCH("recipiente",A333))=FALSE, ISERROR(SEARCH("serbatoio",A333))=FALSE, ISERROR(SEARCH("scambiatore",A333))=FALSE),
    IF(D333*E333&gt;3000,"IV",
        IF(D333*E333&gt;1000,"III",
            IF(D333*E333&gt;200,"II",
                IF(D333*E333&gt;50,"I","")
            )
        )
    ),
    IF(ISERROR(SEARCH("valvola di sicurezza",A333))=FALSE,"IV","")
)</f>
        <v/>
      </c>
    </row>
    <row r="334" spans="1:7" x14ac:dyDescent="0.3">
      <c r="A334" t="s">
        <v>65</v>
      </c>
      <c r="B334" t="s">
        <v>111</v>
      </c>
      <c r="C334" s="2" t="s">
        <v>251</v>
      </c>
      <c r="D334" s="1">
        <v>1750</v>
      </c>
      <c r="E334" s="1">
        <v>8</v>
      </c>
      <c r="F334" s="5"/>
      <c r="G334" s="1" t="str">
        <f>IF(OR(ISERROR(SEARCH("recipiente",A334))=FALSE, ISERROR(SEARCH("serbatoio",A334))=FALSE, ISERROR(SEARCH("scambiatore",A334))=FALSE),
    IF(D334*E334&gt;3000,"IV",
        IF(D334*E334&gt;1000,"III",
            IF(D334*E334&gt;200,"II",
                IF(D334*E334&gt;50,"I","")
            )
        )
    ),
    IF(ISERROR(SEARCH("valvola di sicurezza",A334))=FALSE,"IV","")
)</f>
        <v/>
      </c>
    </row>
    <row r="335" spans="1:7" x14ac:dyDescent="0.3">
      <c r="A335" t="s">
        <v>65</v>
      </c>
      <c r="B335" t="s">
        <v>111</v>
      </c>
      <c r="C335" s="2" t="s">
        <v>252</v>
      </c>
      <c r="D335" s="1">
        <v>1750</v>
      </c>
      <c r="E335" s="1">
        <v>8</v>
      </c>
      <c r="F335" s="5"/>
      <c r="G335" s="1" t="str">
        <f>IF(OR(ISERROR(SEARCH("recipiente",A335))=FALSE, ISERROR(SEARCH("serbatoio",A335))=FALSE, ISERROR(SEARCH("scambiatore",A335))=FALSE),
    IF(D335*E335&gt;3000,"IV",
        IF(D335*E335&gt;1000,"III",
            IF(D335*E335&gt;200,"II",
                IF(D335*E335&gt;50,"I","")
            )
        )
    ),
    IF(ISERROR(SEARCH("valvola di sicurezza",A335))=FALSE,"IV","")
)</f>
        <v/>
      </c>
    </row>
    <row r="336" spans="1:7" x14ac:dyDescent="0.3">
      <c r="A336" t="s">
        <v>65</v>
      </c>
      <c r="B336" t="s">
        <v>111</v>
      </c>
      <c r="C336" s="2" t="s">
        <v>253</v>
      </c>
      <c r="D336" s="1">
        <v>240</v>
      </c>
      <c r="E336" s="1">
        <v>10</v>
      </c>
      <c r="F336" s="5"/>
      <c r="G336" s="1" t="str">
        <f>IF(OR(ISERROR(SEARCH("recipiente",A336))=FALSE, ISERROR(SEARCH("serbatoio",A336))=FALSE, ISERROR(SEARCH("scambiatore",A336))=FALSE),
    IF(D336*E336&gt;3000,"IV",
        IF(D336*E336&gt;1000,"III",
            IF(D336*E336&gt;200,"II",
                IF(D336*E336&gt;50,"I","")
            )
        )
    ),
    IF(ISERROR(SEARCH("valvola di sicurezza",A336))=FALSE,"IV","")
)</f>
        <v/>
      </c>
    </row>
    <row r="337" spans="1:7" x14ac:dyDescent="0.3">
      <c r="A337" t="s">
        <v>65</v>
      </c>
      <c r="B337" t="s">
        <v>111</v>
      </c>
      <c r="C337" s="2" t="s">
        <v>254</v>
      </c>
      <c r="D337" s="1">
        <v>240</v>
      </c>
      <c r="E337" s="1">
        <v>10</v>
      </c>
      <c r="F337" s="5"/>
      <c r="G337" s="1" t="str">
        <f>IF(OR(ISERROR(SEARCH("recipiente",A337))=FALSE, ISERROR(SEARCH("serbatoio",A337))=FALSE, ISERROR(SEARCH("scambiatore",A337))=FALSE),
    IF(D337*E337&gt;3000,"IV",
        IF(D337*E337&gt;1000,"III",
            IF(D337*E337&gt;200,"II",
                IF(D337*E337&gt;50,"I","")
            )
        )
    ),
    IF(ISERROR(SEARCH("valvola di sicurezza",A337))=FALSE,"IV","")
)</f>
        <v/>
      </c>
    </row>
    <row r="338" spans="1:7" x14ac:dyDescent="0.3">
      <c r="A338" t="s">
        <v>65</v>
      </c>
      <c r="B338" t="s">
        <v>111</v>
      </c>
      <c r="C338" s="2" t="s">
        <v>255</v>
      </c>
      <c r="D338" s="1">
        <v>240</v>
      </c>
      <c r="E338" s="1">
        <v>10</v>
      </c>
      <c r="F338" s="5"/>
      <c r="G338" s="1" t="str">
        <f>IF(OR(ISERROR(SEARCH("recipiente",A338))=FALSE, ISERROR(SEARCH("serbatoio",A338))=FALSE, ISERROR(SEARCH("scambiatore",A338))=FALSE),
    IF(D338*E338&gt;3000,"IV",
        IF(D338*E338&gt;1000,"III",
            IF(D338*E338&gt;200,"II",
                IF(D338*E338&gt;50,"I","")
            )
        )
    ),
    IF(ISERROR(SEARCH("valvola di sicurezza",A338))=FALSE,"IV","")
)</f>
        <v/>
      </c>
    </row>
    <row r="339" spans="1:7" x14ac:dyDescent="0.3">
      <c r="A339" t="s">
        <v>65</v>
      </c>
      <c r="B339" t="s">
        <v>111</v>
      </c>
      <c r="C339" s="2" t="s">
        <v>256</v>
      </c>
      <c r="D339" s="1">
        <v>320</v>
      </c>
      <c r="E339" s="1">
        <v>10</v>
      </c>
      <c r="F339" s="5"/>
      <c r="G339" s="1" t="str">
        <f>IF(OR(ISERROR(SEARCH("recipiente",A339))=FALSE, ISERROR(SEARCH("serbatoio",A339))=FALSE, ISERROR(SEARCH("scambiatore",A339))=FALSE),
    IF(D339*E339&gt;3000,"IV",
        IF(D339*E339&gt;1000,"III",
            IF(D339*E339&gt;200,"II",
                IF(D339*E339&gt;50,"I","")
            )
        )
    ),
    IF(ISERROR(SEARCH("valvola di sicurezza",A339))=FALSE,"IV","")
)</f>
        <v/>
      </c>
    </row>
    <row r="340" spans="1:7" x14ac:dyDescent="0.3">
      <c r="A340" t="s">
        <v>65</v>
      </c>
      <c r="B340" t="s">
        <v>111</v>
      </c>
      <c r="C340" s="2" t="s">
        <v>257</v>
      </c>
      <c r="D340" s="1">
        <v>320</v>
      </c>
      <c r="E340" s="1">
        <v>10</v>
      </c>
      <c r="F340" s="5"/>
      <c r="G340" s="1" t="str">
        <f>IF(OR(ISERROR(SEARCH("recipiente",A340))=FALSE, ISERROR(SEARCH("serbatoio",A340))=FALSE, ISERROR(SEARCH("scambiatore",A340))=FALSE),
    IF(D340*E340&gt;3000,"IV",
        IF(D340*E340&gt;1000,"III",
            IF(D340*E340&gt;200,"II",
                IF(D340*E340&gt;50,"I","")
            )
        )
    ),
    IF(ISERROR(SEARCH("valvola di sicurezza",A340))=FALSE,"IV","")
)</f>
        <v/>
      </c>
    </row>
    <row r="341" spans="1:7" x14ac:dyDescent="0.3">
      <c r="A341" t="s">
        <v>65</v>
      </c>
      <c r="B341" t="s">
        <v>111</v>
      </c>
      <c r="C341" s="2" t="s">
        <v>258</v>
      </c>
      <c r="D341" s="1">
        <v>320</v>
      </c>
      <c r="E341" s="1">
        <v>10</v>
      </c>
      <c r="F341" s="5"/>
      <c r="G341" s="1" t="str">
        <f>IF(OR(ISERROR(SEARCH("recipiente",A341))=FALSE, ISERROR(SEARCH("serbatoio",A341))=FALSE, ISERROR(SEARCH("scambiatore",A341))=FALSE),
    IF(D341*E341&gt;3000,"IV",
        IF(D341*E341&gt;1000,"III",
            IF(D341*E341&gt;200,"II",
                IF(D341*E341&gt;50,"I","")
            )
        )
    ),
    IF(ISERROR(SEARCH("valvola di sicurezza",A341))=FALSE,"IV","")
)</f>
        <v/>
      </c>
    </row>
    <row r="342" spans="1:7" x14ac:dyDescent="0.3">
      <c r="A342" t="s">
        <v>65</v>
      </c>
      <c r="B342" t="s">
        <v>111</v>
      </c>
      <c r="C342" s="2" t="s">
        <v>259</v>
      </c>
      <c r="D342" s="1">
        <v>470</v>
      </c>
      <c r="E342" s="1">
        <v>10</v>
      </c>
      <c r="F342" s="5"/>
      <c r="G342" s="1" t="str">
        <f>IF(OR(ISERROR(SEARCH("recipiente",A342))=FALSE, ISERROR(SEARCH("serbatoio",A342))=FALSE, ISERROR(SEARCH("scambiatore",A342))=FALSE),
    IF(D342*E342&gt;3000,"IV",
        IF(D342*E342&gt;1000,"III",
            IF(D342*E342&gt;200,"II",
                IF(D342*E342&gt;50,"I","")
            )
        )
    ),
    IF(ISERROR(SEARCH("valvola di sicurezza",A342))=FALSE,"IV","")
)</f>
        <v/>
      </c>
    </row>
    <row r="343" spans="1:7" x14ac:dyDescent="0.3">
      <c r="A343" t="s">
        <v>65</v>
      </c>
      <c r="B343" t="s">
        <v>111</v>
      </c>
      <c r="C343" s="2" t="s">
        <v>260</v>
      </c>
      <c r="D343" s="1">
        <v>470</v>
      </c>
      <c r="E343" s="1">
        <v>10</v>
      </c>
      <c r="F343" s="5"/>
      <c r="G343" s="1" t="str">
        <f>IF(OR(ISERROR(SEARCH("recipiente",A343))=FALSE, ISERROR(SEARCH("serbatoio",A343))=FALSE, ISERROR(SEARCH("scambiatore",A343))=FALSE),
    IF(D343*E343&gt;3000,"IV",
        IF(D343*E343&gt;1000,"III",
            IF(D343*E343&gt;200,"II",
                IF(D343*E343&gt;50,"I","")
            )
        )
    ),
    IF(ISERROR(SEARCH("valvola di sicurezza",A343))=FALSE,"IV","")
)</f>
        <v/>
      </c>
    </row>
    <row r="344" spans="1:7" x14ac:dyDescent="0.3">
      <c r="A344" t="s">
        <v>65</v>
      </c>
      <c r="B344" t="s">
        <v>111</v>
      </c>
      <c r="C344" s="2" t="s">
        <v>261</v>
      </c>
      <c r="D344" s="1">
        <v>470</v>
      </c>
      <c r="E344" s="1">
        <v>10</v>
      </c>
      <c r="F344" s="5"/>
      <c r="G344" s="1" t="str">
        <f>IF(OR(ISERROR(SEARCH("recipiente",A344))=FALSE, ISERROR(SEARCH("serbatoio",A344))=FALSE, ISERROR(SEARCH("scambiatore",A344))=FALSE),
    IF(D344*E344&gt;3000,"IV",
        IF(D344*E344&gt;1000,"III",
            IF(D344*E344&gt;200,"II",
                IF(D344*E344&gt;50,"I","")
            )
        )
    ),
    IF(ISERROR(SEARCH("valvola di sicurezza",A344))=FALSE,"IV","")
)</f>
        <v/>
      </c>
    </row>
    <row r="345" spans="1:7" x14ac:dyDescent="0.3">
      <c r="A345" t="s">
        <v>65</v>
      </c>
      <c r="B345" t="s">
        <v>111</v>
      </c>
      <c r="C345" s="2" t="s">
        <v>262</v>
      </c>
      <c r="D345" s="1">
        <v>470</v>
      </c>
      <c r="E345" s="1">
        <v>10</v>
      </c>
      <c r="F345" s="5"/>
      <c r="G345" s="1" t="str">
        <f>IF(OR(ISERROR(SEARCH("recipiente",A345))=FALSE, ISERROR(SEARCH("serbatoio",A345))=FALSE, ISERROR(SEARCH("scambiatore",A345))=FALSE),
    IF(D345*E345&gt;3000,"IV",
        IF(D345*E345&gt;1000,"III",
            IF(D345*E345&gt;200,"II",
                IF(D345*E345&gt;50,"I","")
            )
        )
    ),
    IF(ISERROR(SEARCH("valvola di sicurezza",A345))=FALSE,"IV","")
)</f>
        <v/>
      </c>
    </row>
    <row r="346" spans="1:7" x14ac:dyDescent="0.3">
      <c r="A346" t="s">
        <v>65</v>
      </c>
      <c r="B346" t="s">
        <v>111</v>
      </c>
      <c r="C346" s="2" t="s">
        <v>263</v>
      </c>
      <c r="D346" s="1">
        <v>470</v>
      </c>
      <c r="E346" s="1">
        <v>10</v>
      </c>
      <c r="F346" s="5"/>
      <c r="G346" s="1" t="str">
        <f>IF(OR(ISERROR(SEARCH("recipiente",A346))=FALSE, ISERROR(SEARCH("serbatoio",A346))=FALSE, ISERROR(SEARCH("scambiatore",A346))=FALSE),
    IF(D346*E346&gt;3000,"IV",
        IF(D346*E346&gt;1000,"III",
            IF(D346*E346&gt;200,"II",
                IF(D346*E346&gt;50,"I","")
            )
        )
    ),
    IF(ISERROR(SEARCH("valvola di sicurezza",A346))=FALSE,"IV","")
)</f>
        <v/>
      </c>
    </row>
    <row r="347" spans="1:7" x14ac:dyDescent="0.3">
      <c r="A347" t="s">
        <v>65</v>
      </c>
      <c r="B347" t="s">
        <v>111</v>
      </c>
      <c r="C347" s="2" t="s">
        <v>264</v>
      </c>
      <c r="D347" s="1">
        <v>470</v>
      </c>
      <c r="E347" s="1">
        <v>10</v>
      </c>
      <c r="F347" s="5"/>
      <c r="G347" s="1" t="str">
        <f>IF(OR(ISERROR(SEARCH("recipiente",A347))=FALSE, ISERROR(SEARCH("serbatoio",A347))=FALSE, ISERROR(SEARCH("scambiatore",A347))=FALSE),
    IF(D347*E347&gt;3000,"IV",
        IF(D347*E347&gt;1000,"III",
            IF(D347*E347&gt;200,"II",
                IF(D347*E347&gt;50,"I","")
            )
        )
    ),
    IF(ISERROR(SEARCH("valvola di sicurezza",A347))=FALSE,"IV","")
)</f>
        <v/>
      </c>
    </row>
    <row r="348" spans="1:7" x14ac:dyDescent="0.3">
      <c r="A348" t="s">
        <v>65</v>
      </c>
      <c r="B348" t="s">
        <v>111</v>
      </c>
      <c r="C348" s="2" t="s">
        <v>265</v>
      </c>
      <c r="D348" s="1">
        <v>600</v>
      </c>
      <c r="E348" s="1">
        <v>10</v>
      </c>
      <c r="F348" s="5"/>
      <c r="G348" s="1" t="str">
        <f>IF(OR(ISERROR(SEARCH("recipiente",A348))=FALSE, ISERROR(SEARCH("serbatoio",A348))=FALSE, ISERROR(SEARCH("scambiatore",A348))=FALSE),
    IF(D348*E348&gt;3000,"IV",
        IF(D348*E348&gt;1000,"III",
            IF(D348*E348&gt;200,"II",
                IF(D348*E348&gt;50,"I","")
            )
        )
    ),
    IF(ISERROR(SEARCH("valvola di sicurezza",A348))=FALSE,"IV","")
)</f>
        <v/>
      </c>
    </row>
    <row r="349" spans="1:7" x14ac:dyDescent="0.3">
      <c r="A349" t="s">
        <v>65</v>
      </c>
      <c r="B349" t="s">
        <v>111</v>
      </c>
      <c r="C349" s="2" t="s">
        <v>266</v>
      </c>
      <c r="D349" s="1">
        <v>600</v>
      </c>
      <c r="E349" s="1">
        <v>10</v>
      </c>
      <c r="F349" s="5"/>
      <c r="G349" s="1" t="str">
        <f>IF(OR(ISERROR(SEARCH("recipiente",A349))=FALSE, ISERROR(SEARCH("serbatoio",A349))=FALSE, ISERROR(SEARCH("scambiatore",A349))=FALSE),
    IF(D349*E349&gt;3000,"IV",
        IF(D349*E349&gt;1000,"III",
            IF(D349*E349&gt;200,"II",
                IF(D349*E349&gt;50,"I","")
            )
        )
    ),
    IF(ISERROR(SEARCH("valvola di sicurezza",A349))=FALSE,"IV","")
)</f>
        <v/>
      </c>
    </row>
    <row r="350" spans="1:7" x14ac:dyDescent="0.3">
      <c r="A350" t="s">
        <v>65</v>
      </c>
      <c r="B350" t="s">
        <v>111</v>
      </c>
      <c r="C350" s="2" t="s">
        <v>267</v>
      </c>
      <c r="D350" s="1">
        <v>600</v>
      </c>
      <c r="E350" s="1">
        <v>10</v>
      </c>
      <c r="F350" s="5"/>
      <c r="G350" s="1" t="str">
        <f>IF(OR(ISERROR(SEARCH("recipiente",A350))=FALSE, ISERROR(SEARCH("serbatoio",A350))=FALSE, ISERROR(SEARCH("scambiatore",A350))=FALSE),
    IF(D350*E350&gt;3000,"IV",
        IF(D350*E350&gt;1000,"III",
            IF(D350*E350&gt;200,"II",
                IF(D350*E350&gt;50,"I","")
            )
        )
    ),
    IF(ISERROR(SEARCH("valvola di sicurezza",A350))=FALSE,"IV","")
)</f>
        <v/>
      </c>
    </row>
    <row r="351" spans="1:7" x14ac:dyDescent="0.3">
      <c r="A351" t="s">
        <v>65</v>
      </c>
      <c r="B351" t="s">
        <v>111</v>
      </c>
      <c r="C351" s="2" t="s">
        <v>268</v>
      </c>
      <c r="D351" s="1">
        <v>630</v>
      </c>
      <c r="E351" s="1">
        <v>10</v>
      </c>
      <c r="F351" s="5"/>
      <c r="G351" s="1" t="str">
        <f>IF(OR(ISERROR(SEARCH("recipiente",A351))=FALSE, ISERROR(SEARCH("serbatoio",A351))=FALSE, ISERROR(SEARCH("scambiatore",A351))=FALSE),
    IF(D351*E351&gt;3000,"IV",
        IF(D351*E351&gt;1000,"III",
            IF(D351*E351&gt;200,"II",
                IF(D351*E351&gt;50,"I","")
            )
        )
    ),
    IF(ISERROR(SEARCH("valvola di sicurezza",A351))=FALSE,"IV","")
)</f>
        <v/>
      </c>
    </row>
    <row r="352" spans="1:7" x14ac:dyDescent="0.3">
      <c r="A352" t="s">
        <v>65</v>
      </c>
      <c r="B352" t="s">
        <v>111</v>
      </c>
      <c r="C352" s="2" t="s">
        <v>269</v>
      </c>
      <c r="D352" s="1">
        <v>630</v>
      </c>
      <c r="E352" s="1">
        <v>10</v>
      </c>
      <c r="F352" s="5"/>
      <c r="G352" s="1" t="str">
        <f>IF(OR(ISERROR(SEARCH("recipiente",A352))=FALSE, ISERROR(SEARCH("serbatoio",A352))=FALSE, ISERROR(SEARCH("scambiatore",A352))=FALSE),
    IF(D352*E352&gt;3000,"IV",
        IF(D352*E352&gt;1000,"III",
            IF(D352*E352&gt;200,"II",
                IF(D352*E352&gt;50,"I","")
            )
        )
    ),
    IF(ISERROR(SEARCH("valvola di sicurezza",A352))=FALSE,"IV","")
)</f>
        <v/>
      </c>
    </row>
    <row r="353" spans="1:7" x14ac:dyDescent="0.3">
      <c r="A353" t="s">
        <v>65</v>
      </c>
      <c r="B353" t="s">
        <v>111</v>
      </c>
      <c r="C353" s="2" t="s">
        <v>270</v>
      </c>
      <c r="D353" s="1">
        <v>630</v>
      </c>
      <c r="E353" s="1">
        <v>10</v>
      </c>
      <c r="F353" s="5"/>
      <c r="G353" s="1" t="str">
        <f>IF(OR(ISERROR(SEARCH("recipiente",A353))=FALSE, ISERROR(SEARCH("serbatoio",A353))=FALSE, ISERROR(SEARCH("scambiatore",A353))=FALSE),
    IF(D353*E353&gt;3000,"IV",
        IF(D353*E353&gt;1000,"III",
            IF(D353*E353&gt;200,"II",
                IF(D353*E353&gt;50,"I","")
            )
        )
    ),
    IF(ISERROR(SEARCH("valvola di sicurezza",A353))=FALSE,"IV","")
)</f>
        <v/>
      </c>
    </row>
    <row r="354" spans="1:7" x14ac:dyDescent="0.3">
      <c r="A354" t="s">
        <v>65</v>
      </c>
      <c r="B354" t="s">
        <v>111</v>
      </c>
      <c r="C354" s="2" t="s">
        <v>271</v>
      </c>
      <c r="D354" s="1">
        <v>750</v>
      </c>
      <c r="E354" s="1">
        <v>8</v>
      </c>
      <c r="F354" s="5"/>
      <c r="G354" s="1" t="str">
        <f>IF(OR(ISERROR(SEARCH("recipiente",A354))=FALSE, ISERROR(SEARCH("serbatoio",A354))=FALSE, ISERROR(SEARCH("scambiatore",A354))=FALSE),
    IF(D354*E354&gt;3000,"IV",
        IF(D354*E354&gt;1000,"III",
            IF(D354*E354&gt;200,"II",
                IF(D354*E354&gt;50,"I","")
            )
        )
    ),
    IF(ISERROR(SEARCH("valvola di sicurezza",A354))=FALSE,"IV","")
)</f>
        <v/>
      </c>
    </row>
    <row r="355" spans="1:7" x14ac:dyDescent="0.3">
      <c r="A355" t="s">
        <v>65</v>
      </c>
      <c r="B355" t="s">
        <v>111</v>
      </c>
      <c r="C355" s="2" t="s">
        <v>272</v>
      </c>
      <c r="D355" s="1">
        <v>750</v>
      </c>
      <c r="E355" s="1">
        <v>8</v>
      </c>
      <c r="F355" s="5"/>
      <c r="G355" s="1" t="str">
        <f>IF(OR(ISERROR(SEARCH("recipiente",A355))=FALSE, ISERROR(SEARCH("serbatoio",A355))=FALSE, ISERROR(SEARCH("scambiatore",A355))=FALSE),
    IF(D355*E355&gt;3000,"IV",
        IF(D355*E355&gt;1000,"III",
            IF(D355*E355&gt;200,"II",
                IF(D355*E355&gt;50,"I","")
            )
        )
    ),
    IF(ISERROR(SEARCH("valvola di sicurezza",A355))=FALSE,"IV","")
)</f>
        <v/>
      </c>
    </row>
    <row r="356" spans="1:7" x14ac:dyDescent="0.3">
      <c r="A356" t="s">
        <v>65</v>
      </c>
      <c r="B356" t="s">
        <v>111</v>
      </c>
      <c r="C356" s="2" t="s">
        <v>273</v>
      </c>
      <c r="D356" s="1">
        <v>750</v>
      </c>
      <c r="E356" s="1">
        <v>8</v>
      </c>
      <c r="F356" s="5"/>
      <c r="G356" s="1" t="str">
        <f>IF(OR(ISERROR(SEARCH("recipiente",A356))=FALSE, ISERROR(SEARCH("serbatoio",A356))=FALSE, ISERROR(SEARCH("scambiatore",A356))=FALSE),
    IF(D356*E356&gt;3000,"IV",
        IF(D356*E356&gt;1000,"III",
            IF(D356*E356&gt;200,"II",
                IF(D356*E356&gt;50,"I","")
            )
        )
    ),
    IF(ISERROR(SEARCH("valvola di sicurezza",A356))=FALSE,"IV","")
)</f>
        <v/>
      </c>
    </row>
    <row r="357" spans="1:7" x14ac:dyDescent="0.3">
      <c r="A357" t="s">
        <v>65</v>
      </c>
      <c r="B357" t="s">
        <v>111</v>
      </c>
      <c r="C357" s="2" t="s">
        <v>274</v>
      </c>
      <c r="D357" s="1">
        <v>653</v>
      </c>
      <c r="E357" s="1">
        <v>11</v>
      </c>
      <c r="F357" s="5"/>
      <c r="G357" s="1" t="str">
        <f>IF(OR(ISERROR(SEARCH("recipiente",A357))=FALSE, ISERROR(SEARCH("serbatoio",A357))=FALSE, ISERROR(SEARCH("scambiatore",A357))=FALSE),
    IF(D357*E357&gt;3000,"IV",
        IF(D357*E357&gt;1000,"III",
            IF(D357*E357&gt;200,"II",
                IF(D357*E357&gt;50,"I","")
            )
        )
    ),
    IF(ISERROR(SEARCH("valvola di sicurezza",A357))=FALSE,"IV","")
)</f>
        <v/>
      </c>
    </row>
    <row r="358" spans="1:7" x14ac:dyDescent="0.3">
      <c r="A358" t="s">
        <v>65</v>
      </c>
      <c r="B358" t="s">
        <v>111</v>
      </c>
      <c r="C358" s="2" t="s">
        <v>275</v>
      </c>
      <c r="D358" s="1">
        <v>1200</v>
      </c>
      <c r="E358" s="1">
        <v>11</v>
      </c>
      <c r="F358" s="5"/>
      <c r="G358" s="1" t="str">
        <f>IF(OR(ISERROR(SEARCH("recipiente",A358))=FALSE, ISERROR(SEARCH("serbatoio",A358))=FALSE, ISERROR(SEARCH("scambiatore",A358))=FALSE),
    IF(D358*E358&gt;3000,"IV",
        IF(D358*E358&gt;1000,"III",
            IF(D358*E358&gt;200,"II",
                IF(D358*E358&gt;50,"I","")
            )
        )
    ),
    IF(ISERROR(SEARCH("valvola di sicurezza",A358))=FALSE,"IV","")
)</f>
        <v/>
      </c>
    </row>
    <row r="359" spans="1:7" x14ac:dyDescent="0.3">
      <c r="A359" t="s">
        <v>65</v>
      </c>
      <c r="B359" t="s">
        <v>111</v>
      </c>
      <c r="C359" s="2" t="s">
        <v>276</v>
      </c>
      <c r="D359" s="1">
        <v>750</v>
      </c>
      <c r="E359" s="1">
        <v>11</v>
      </c>
      <c r="F359" s="5"/>
      <c r="G359" s="1" t="str">
        <f>IF(OR(ISERROR(SEARCH("recipiente",A359))=FALSE, ISERROR(SEARCH("serbatoio",A359))=FALSE, ISERROR(SEARCH("scambiatore",A359))=FALSE),
    IF(D359*E359&gt;3000,"IV",
        IF(D359*E359&gt;1000,"III",
            IF(D359*E359&gt;200,"II",
                IF(D359*E359&gt;50,"I","")
            )
        )
    ),
    IF(ISERROR(SEARCH("valvola di sicurezza",A359))=FALSE,"IV","")
)</f>
        <v/>
      </c>
    </row>
    <row r="360" spans="1:7" x14ac:dyDescent="0.3">
      <c r="A360" t="s">
        <v>65</v>
      </c>
      <c r="B360" t="s">
        <v>111</v>
      </c>
      <c r="C360" s="2" t="s">
        <v>277</v>
      </c>
      <c r="D360" s="1">
        <v>490</v>
      </c>
      <c r="E360" s="1">
        <v>10</v>
      </c>
      <c r="F360" s="5"/>
      <c r="G360" s="1" t="str">
        <f>IF(OR(ISERROR(SEARCH("recipiente",A360))=FALSE, ISERROR(SEARCH("serbatoio",A360))=FALSE, ISERROR(SEARCH("scambiatore",A360))=FALSE),
    IF(D360*E360&gt;3000,"IV",
        IF(D360*E360&gt;1000,"III",
            IF(D360*E360&gt;200,"II",
                IF(D360*E360&gt;50,"I","")
            )
        )
    ),
    IF(ISERROR(SEARCH("valvola di sicurezza",A360))=FALSE,"IV","")
)</f>
        <v/>
      </c>
    </row>
    <row r="361" spans="1:7" x14ac:dyDescent="0.3">
      <c r="A361" t="s">
        <v>65</v>
      </c>
      <c r="B361" t="s">
        <v>111</v>
      </c>
      <c r="C361" s="2" t="s">
        <v>278</v>
      </c>
      <c r="D361" s="1">
        <v>1360</v>
      </c>
      <c r="E361" s="1">
        <v>10</v>
      </c>
      <c r="F361" s="5"/>
      <c r="G361" s="1" t="str">
        <f>IF(OR(ISERROR(SEARCH("recipiente",A361))=FALSE, ISERROR(SEARCH("serbatoio",A361))=FALSE, ISERROR(SEARCH("scambiatore",A361))=FALSE),
    IF(D361*E361&gt;3000,"IV",
        IF(D361*E361&gt;1000,"III",
            IF(D361*E361&gt;200,"II",
                IF(D361*E361&gt;50,"I","")
            )
        )
    ),
    IF(ISERROR(SEARCH("valvola di sicurezza",A361))=FALSE,"IV","")
)</f>
        <v/>
      </c>
    </row>
    <row r="362" spans="1:7" x14ac:dyDescent="0.3">
      <c r="A362" t="s">
        <v>65</v>
      </c>
      <c r="B362" t="s">
        <v>111</v>
      </c>
      <c r="C362" s="2" t="s">
        <v>279</v>
      </c>
      <c r="D362" s="1">
        <v>1950</v>
      </c>
      <c r="E362" s="1">
        <v>8</v>
      </c>
      <c r="F362" s="5"/>
      <c r="G362" s="1" t="str">
        <f>IF(OR(ISERROR(SEARCH("recipiente",A362))=FALSE, ISERROR(SEARCH("serbatoio",A362))=FALSE, ISERROR(SEARCH("scambiatore",A362))=FALSE),
    IF(D362*E362&gt;3000,"IV",
        IF(D362*E362&gt;1000,"III",
            IF(D362*E362&gt;200,"II",
                IF(D362*E362&gt;50,"I","")
            )
        )
    ),
    IF(ISERROR(SEARCH("valvola di sicurezza",A362))=FALSE,"IV","")
)</f>
        <v/>
      </c>
    </row>
    <row r="363" spans="1:7" x14ac:dyDescent="0.3">
      <c r="A363" t="s">
        <v>65</v>
      </c>
      <c r="B363" t="s">
        <v>111</v>
      </c>
      <c r="C363" s="2" t="s">
        <v>280</v>
      </c>
      <c r="D363" s="1"/>
      <c r="E363" s="1"/>
      <c r="F363" s="5"/>
      <c r="G363" s="1" t="str">
        <f>IF(OR(ISERROR(SEARCH("recipiente",A363))=FALSE, ISERROR(SEARCH("serbatoio",A363))=FALSE, ISERROR(SEARCH("scambiatore",A363))=FALSE),
    IF(D363*E363&gt;3000,"IV",
        IF(D363*E363&gt;1000,"III",
            IF(D363*E363&gt;200,"II",
                IF(D363*E363&gt;50,"I","")
            )
        )
    ),
    IF(ISERROR(SEARCH("valvola di sicurezza",A363))=FALSE,"IV","")
)</f>
        <v/>
      </c>
    </row>
    <row r="364" spans="1:7" x14ac:dyDescent="0.3">
      <c r="A364" t="s">
        <v>65</v>
      </c>
      <c r="B364" t="s">
        <v>111</v>
      </c>
      <c r="C364" s="2" t="s">
        <v>281</v>
      </c>
      <c r="D364" s="1">
        <v>3000</v>
      </c>
      <c r="E364" s="1">
        <v>10</v>
      </c>
      <c r="F364" s="5"/>
      <c r="G364" s="1" t="str">
        <f>IF(OR(ISERROR(SEARCH("recipiente",A364))=FALSE, ISERROR(SEARCH("serbatoio",A364))=FALSE, ISERROR(SEARCH("scambiatore",A364))=FALSE),
    IF(D364*E364&gt;3000,"IV",
        IF(D364*E364&gt;1000,"III",
            IF(D364*E364&gt;200,"II",
                IF(D364*E364&gt;50,"I","")
            )
        )
    ),
    IF(ISERROR(SEARCH("valvola di sicurezza",A364))=FALSE,"IV","")
)</f>
        <v/>
      </c>
    </row>
    <row r="365" spans="1:7" x14ac:dyDescent="0.3">
      <c r="A365" t="s">
        <v>65</v>
      </c>
      <c r="B365" t="s">
        <v>111</v>
      </c>
      <c r="C365" s="2" t="s">
        <v>282</v>
      </c>
      <c r="D365" s="1">
        <v>6780</v>
      </c>
      <c r="E365" s="1">
        <v>12.5</v>
      </c>
      <c r="F365" s="5"/>
      <c r="G365" s="1" t="str">
        <f>IF(OR(ISERROR(SEARCH("recipiente",A365))=FALSE, ISERROR(SEARCH("serbatoio",A365))=FALSE, ISERROR(SEARCH("scambiatore",A365))=FALSE),
    IF(D365*E365&gt;3000,"IV",
        IF(D365*E365&gt;1000,"III",
            IF(D365*E365&gt;200,"II",
                IF(D365*E365&gt;50,"I","")
            )
        )
    ),
    IF(ISERROR(SEARCH("valvola di sicurezza",A365))=FALSE,"IV","")
)</f>
        <v/>
      </c>
    </row>
    <row r="366" spans="1:7" x14ac:dyDescent="0.3">
      <c r="A366" t="s">
        <v>65</v>
      </c>
      <c r="B366" t="s">
        <v>111</v>
      </c>
      <c r="C366" s="2" t="s">
        <v>283</v>
      </c>
      <c r="D366" s="1">
        <v>8100</v>
      </c>
      <c r="E366" s="1">
        <v>9.5</v>
      </c>
      <c r="F366" s="5"/>
      <c r="G366" s="1" t="str">
        <f>IF(OR(ISERROR(SEARCH("recipiente",A366))=FALSE, ISERROR(SEARCH("serbatoio",A366))=FALSE, ISERROR(SEARCH("scambiatore",A366))=FALSE),
    IF(D366*E366&gt;3000,"IV",
        IF(D366*E366&gt;1000,"III",
            IF(D366*E366&gt;200,"II",
                IF(D366*E366&gt;50,"I","")
            )
        )
    ),
    IF(ISERROR(SEARCH("valvola di sicurezza",A366))=FALSE,"IV","")
)</f>
        <v/>
      </c>
    </row>
    <row r="367" spans="1:7" x14ac:dyDescent="0.3">
      <c r="A367" t="s">
        <v>65</v>
      </c>
      <c r="B367" t="s">
        <v>111</v>
      </c>
      <c r="C367" s="2" t="s">
        <v>284</v>
      </c>
      <c r="D367" s="1">
        <v>9120</v>
      </c>
      <c r="E367" s="1">
        <v>7</v>
      </c>
      <c r="F367" s="5"/>
      <c r="G367" s="1" t="str">
        <f>IF(OR(ISERROR(SEARCH("recipiente",A367))=FALSE, ISERROR(SEARCH("serbatoio",A367))=FALSE, ISERROR(SEARCH("scambiatore",A367))=FALSE),
    IF(D367*E367&gt;3000,"IV",
        IF(D367*E367&gt;1000,"III",
            IF(D367*E367&gt;200,"II",
                IF(D367*E367&gt;50,"I","")
            )
        )
    ),
    IF(ISERROR(SEARCH("valvola di sicurezza",A367))=FALSE,"IV","")
)</f>
        <v/>
      </c>
    </row>
    <row r="368" spans="1:7" x14ac:dyDescent="0.3">
      <c r="A368" t="s">
        <v>65</v>
      </c>
      <c r="B368" t="s">
        <v>111</v>
      </c>
      <c r="C368" s="2" t="s">
        <v>285</v>
      </c>
      <c r="D368" s="1">
        <v>8220</v>
      </c>
      <c r="E368" s="1">
        <v>12.5</v>
      </c>
      <c r="F368" s="5"/>
      <c r="G368" s="1" t="str">
        <f>IF(OR(ISERROR(SEARCH("recipiente",A368))=FALSE, ISERROR(SEARCH("serbatoio",A368))=FALSE, ISERROR(SEARCH("scambiatore",A368))=FALSE),
    IF(D368*E368&gt;3000,"IV",
        IF(D368*E368&gt;1000,"III",
            IF(D368*E368&gt;200,"II",
                IF(D368*E368&gt;50,"I","")
            )
        )
    ),
    IF(ISERROR(SEARCH("valvola di sicurezza",A368))=FALSE,"IV","")
)</f>
        <v/>
      </c>
    </row>
    <row r="369" spans="1:7" x14ac:dyDescent="0.3">
      <c r="A369" t="s">
        <v>65</v>
      </c>
      <c r="B369" t="s">
        <v>111</v>
      </c>
      <c r="C369" s="2" t="s">
        <v>286</v>
      </c>
      <c r="D369" s="1">
        <v>7980</v>
      </c>
      <c r="E369" s="1">
        <v>9.5</v>
      </c>
      <c r="F369" s="5"/>
      <c r="G369" s="1" t="str">
        <f>IF(OR(ISERROR(SEARCH("recipiente",A369))=FALSE, ISERROR(SEARCH("serbatoio",A369))=FALSE, ISERROR(SEARCH("scambiatore",A369))=FALSE),
    IF(D369*E369&gt;3000,"IV",
        IF(D369*E369&gt;1000,"III",
            IF(D369*E369&gt;200,"II",
                IF(D369*E369&gt;50,"I","")
            )
        )
    ),
    IF(ISERROR(SEARCH("valvola di sicurezza",A369))=FALSE,"IV","")
)</f>
        <v/>
      </c>
    </row>
    <row r="370" spans="1:7" x14ac:dyDescent="0.3">
      <c r="A370" t="s">
        <v>65</v>
      </c>
      <c r="B370" t="s">
        <v>111</v>
      </c>
      <c r="C370" s="2" t="s">
        <v>287</v>
      </c>
      <c r="D370" s="1">
        <v>11040</v>
      </c>
      <c r="E370" s="1">
        <v>7</v>
      </c>
      <c r="F370" s="5"/>
      <c r="G370" s="1" t="str">
        <f>IF(OR(ISERROR(SEARCH("recipiente",A370))=FALSE, ISERROR(SEARCH("serbatoio",A370))=FALSE, ISERROR(SEARCH("scambiatore",A370))=FALSE),
    IF(D370*E370&gt;3000,"IV",
        IF(D370*E370&gt;1000,"III",
            IF(D370*E370&gt;200,"II",
                IF(D370*E370&gt;50,"I","")
            )
        )
    ),
    IF(ISERROR(SEARCH("valvola di sicurezza",A370))=FALSE,"IV","")
)</f>
        <v/>
      </c>
    </row>
    <row r="371" spans="1:7" x14ac:dyDescent="0.3">
      <c r="A371" t="s">
        <v>65</v>
      </c>
      <c r="B371" t="s">
        <v>111</v>
      </c>
      <c r="C371" s="2" t="s">
        <v>288</v>
      </c>
      <c r="D371" s="1">
        <v>9840</v>
      </c>
      <c r="E371" s="1">
        <v>12.5</v>
      </c>
      <c r="F371" s="5"/>
      <c r="G371" s="1" t="str">
        <f>IF(OR(ISERROR(SEARCH("recipiente",A371))=FALSE, ISERROR(SEARCH("serbatoio",A371))=FALSE, ISERROR(SEARCH("scambiatore",A371))=FALSE),
    IF(D371*E371&gt;3000,"IV",
        IF(D371*E371&gt;1000,"III",
            IF(D371*E371&gt;200,"II",
                IF(D371*E371&gt;50,"I","")
            )
        )
    ),
    IF(ISERROR(SEARCH("valvola di sicurezza",A371))=FALSE,"IV","")
)</f>
        <v/>
      </c>
    </row>
    <row r="372" spans="1:7" x14ac:dyDescent="0.3">
      <c r="A372" t="s">
        <v>65</v>
      </c>
      <c r="B372" t="s">
        <v>111</v>
      </c>
      <c r="C372" s="2" t="s">
        <v>289</v>
      </c>
      <c r="D372" s="1">
        <v>11640</v>
      </c>
      <c r="E372" s="1">
        <v>9.5</v>
      </c>
      <c r="F372" s="5"/>
      <c r="G372" s="1" t="str">
        <f>IF(OR(ISERROR(SEARCH("recipiente",A372))=FALSE, ISERROR(SEARCH("serbatoio",A372))=FALSE, ISERROR(SEARCH("scambiatore",A372))=FALSE),
    IF(D372*E372&gt;3000,"IV",
        IF(D372*E372&gt;1000,"III",
            IF(D372*E372&gt;200,"II",
                IF(D372*E372&gt;50,"I","")
            )
        )
    ),
    IF(ISERROR(SEARCH("valvola di sicurezza",A372))=FALSE,"IV","")
)</f>
        <v/>
      </c>
    </row>
    <row r="373" spans="1:7" x14ac:dyDescent="0.3">
      <c r="A373" t="s">
        <v>65</v>
      </c>
      <c r="B373" t="s">
        <v>111</v>
      </c>
      <c r="C373" s="2" t="s">
        <v>290</v>
      </c>
      <c r="D373" s="1">
        <v>13200</v>
      </c>
      <c r="E373" s="1">
        <v>7</v>
      </c>
      <c r="F373" s="5"/>
      <c r="G373" s="1" t="str">
        <f>IF(OR(ISERROR(SEARCH("recipiente",A373))=FALSE, ISERROR(SEARCH("serbatoio",A373))=FALSE, ISERROR(SEARCH("scambiatore",A373))=FALSE),
    IF(D373*E373&gt;3000,"IV",
        IF(D373*E373&gt;1000,"III",
            IF(D373*E373&gt;200,"II",
                IF(D373*E373&gt;50,"I","")
            )
        )
    ),
    IF(ISERROR(SEARCH("valvola di sicurezza",A373))=FALSE,"IV","")
)</f>
        <v/>
      </c>
    </row>
    <row r="374" spans="1:7" x14ac:dyDescent="0.3">
      <c r="A374" t="s">
        <v>65</v>
      </c>
      <c r="B374" t="s">
        <v>111</v>
      </c>
      <c r="C374" s="2" t="s">
        <v>291</v>
      </c>
      <c r="D374" s="1">
        <v>393</v>
      </c>
      <c r="E374" s="1">
        <v>16</v>
      </c>
      <c r="F374" s="5"/>
      <c r="G374" s="1" t="str">
        <f>IF(OR(ISERROR(SEARCH("recipiente",A374))=FALSE, ISERROR(SEARCH("serbatoio",A374))=FALSE, ISERROR(SEARCH("scambiatore",A374))=FALSE),
    IF(D374*E374&gt;3000,"IV",
        IF(D374*E374&gt;1000,"III",
            IF(D374*E374&gt;200,"II",
                IF(D374*E374&gt;50,"I","")
            )
        )
    ),
    IF(ISERROR(SEARCH("valvola di sicurezza",A374))=FALSE,"IV","")
)</f>
        <v/>
      </c>
    </row>
    <row r="375" spans="1:7" x14ac:dyDescent="0.3">
      <c r="A375" t="s">
        <v>65</v>
      </c>
      <c r="B375" t="s">
        <v>111</v>
      </c>
      <c r="C375" s="2" t="s">
        <v>292</v>
      </c>
      <c r="D375" s="1">
        <v>1010</v>
      </c>
      <c r="E375" s="1">
        <v>11</v>
      </c>
      <c r="F375" s="5"/>
      <c r="G375" s="1" t="str">
        <f>IF(OR(ISERROR(SEARCH("recipiente",A375))=FALSE, ISERROR(SEARCH("serbatoio",A375))=FALSE, ISERROR(SEARCH("scambiatore",A375))=FALSE),
    IF(D375*E375&gt;3000,"IV",
        IF(D375*E375&gt;1000,"III",
            IF(D375*E375&gt;200,"II",
                IF(D375*E375&gt;50,"I","")
            )
        )
    ),
    IF(ISERROR(SEARCH("valvola di sicurezza",A375))=FALSE,"IV","")
)</f>
        <v/>
      </c>
    </row>
    <row r="376" spans="1:7" x14ac:dyDescent="0.3">
      <c r="A376" t="s">
        <v>65</v>
      </c>
      <c r="B376" t="s">
        <v>111</v>
      </c>
      <c r="C376" s="2" t="s">
        <v>292</v>
      </c>
      <c r="D376" s="1">
        <v>660</v>
      </c>
      <c r="E376" s="1">
        <v>11</v>
      </c>
      <c r="F376" s="5"/>
      <c r="G376" s="1" t="str">
        <f>IF(OR(ISERROR(SEARCH("recipiente",A376))=FALSE, ISERROR(SEARCH("serbatoio",A376))=FALSE, ISERROR(SEARCH("scambiatore",A376))=FALSE),
    IF(D376*E376&gt;3000,"IV",
        IF(D376*E376&gt;1000,"III",
            IF(D376*E376&gt;200,"II",
                IF(D376*E376&gt;50,"I","")
            )
        )
    ),
    IF(ISERROR(SEARCH("valvola di sicurezza",A376))=FALSE,"IV","")
)</f>
        <v/>
      </c>
    </row>
    <row r="377" spans="1:7" x14ac:dyDescent="0.3">
      <c r="A377" t="s">
        <v>301</v>
      </c>
      <c r="B377" t="s">
        <v>111</v>
      </c>
      <c r="C377" s="2" t="s">
        <v>999</v>
      </c>
      <c r="D377" s="1"/>
      <c r="E377" s="1">
        <v>13</v>
      </c>
      <c r="F377" s="5"/>
      <c r="G377" s="1" t="str">
        <f>IF(OR(ISERROR(SEARCH("recipiente",A377))=FALSE, ISERROR(SEARCH("serbatoio",A377))=FALSE, ISERROR(SEARCH("scambiatore",A377))=FALSE),
    IF(D377*E377&gt;3000,"IV",
        IF(D377*E377&gt;1000,"III",
            IF(D377*E377&gt;200,"II",
                IF(D377*E377&gt;50,"I","")
            )
        )
    ),
    IF(ISERROR(SEARCH("valvola di sicurezza",A377))=FALSE,"IV","")
)</f>
        <v/>
      </c>
    </row>
    <row r="378" spans="1:7" x14ac:dyDescent="0.3">
      <c r="A378" t="s">
        <v>65</v>
      </c>
      <c r="B378" t="s">
        <v>111</v>
      </c>
      <c r="C378" s="2" t="s">
        <v>1003</v>
      </c>
      <c r="D378" s="1">
        <v>400</v>
      </c>
      <c r="E378" s="1">
        <v>10</v>
      </c>
      <c r="F378" s="5"/>
      <c r="G378" s="1" t="str">
        <f>IF(OR(ISERROR(SEARCH("recipiente",A378))=FALSE, ISERROR(SEARCH("serbatoio",A378))=FALSE, ISERROR(SEARCH("scambiatore",A378))=FALSE),
    IF(D378*E378&gt;3000,"IV",
        IF(D378*E378&gt;1000,"III",
            IF(D378*E378&gt;200,"II",
                IF(D378*E378&gt;50,"I","")
            )
        )
    ),
    IF(ISERROR(SEARCH("valvola di sicurezza",A378))=FALSE,"IV","")
)</f>
        <v/>
      </c>
    </row>
    <row r="379" spans="1:7" x14ac:dyDescent="0.3">
      <c r="A379" t="s">
        <v>301</v>
      </c>
      <c r="B379" t="s">
        <v>111</v>
      </c>
      <c r="C379" s="2" t="s">
        <v>132</v>
      </c>
      <c r="D379" s="1"/>
      <c r="E379" s="1">
        <v>16</v>
      </c>
      <c r="F379" s="5"/>
      <c r="G379" s="1" t="str">
        <f>IF(OR(ISERROR(SEARCH("recipiente",A379))=FALSE, ISERROR(SEARCH("serbatoio",A379))=FALSE, ISERROR(SEARCH("scambiatore",A379))=FALSE),
    IF(D379*E379&gt;3000,"IV",
        IF(D379*E379&gt;1000,"III",
            IF(D379*E379&gt;200,"II",
                IF(D379*E379&gt;50,"I","")
            )
        )
    ),
    IF(ISERROR(SEARCH("valvola di sicurezza",A379))=FALSE,"IV","")
)</f>
        <v/>
      </c>
    </row>
    <row r="380" spans="1:7" x14ac:dyDescent="0.3">
      <c r="A380" t="s">
        <v>65</v>
      </c>
      <c r="B380" t="s">
        <v>111</v>
      </c>
      <c r="C380" s="2" t="s">
        <v>1011</v>
      </c>
      <c r="D380" s="1">
        <v>2730</v>
      </c>
      <c r="E380" s="1">
        <v>10</v>
      </c>
      <c r="F380" s="5"/>
      <c r="G380" s="1" t="str">
        <f>IF(OR(ISERROR(SEARCH("recipiente",A380))=FALSE, ISERROR(SEARCH("serbatoio",A380))=FALSE, ISERROR(SEARCH("scambiatore",A380))=FALSE),
    IF(D380*E380&gt;3000,"IV",
        IF(D380*E380&gt;1000,"III",
            IF(D380*E380&gt;200,"II",
                IF(D380*E380&gt;50,"I","")
            )
        )
    ),
    IF(ISERROR(SEARCH("valvola di sicurezza",A380))=FALSE,"IV","")
)</f>
        <v/>
      </c>
    </row>
    <row r="381" spans="1:7" x14ac:dyDescent="0.3">
      <c r="A381" t="s">
        <v>301</v>
      </c>
      <c r="B381" t="s">
        <v>111</v>
      </c>
      <c r="C381" s="2" t="s">
        <v>123</v>
      </c>
      <c r="D381" s="1"/>
      <c r="E381" s="1">
        <v>13</v>
      </c>
      <c r="F381" s="5"/>
      <c r="G381" s="1" t="str">
        <f>IF(OR(ISERROR(SEARCH("recipiente",A381))=FALSE, ISERROR(SEARCH("serbatoio",A381))=FALSE, ISERROR(SEARCH("scambiatore",A381))=FALSE),
    IF(D381*E381&gt;3000,"IV",
        IF(D381*E381&gt;1000,"III",
            IF(D381*E381&gt;200,"II",
                IF(D381*E381&gt;50,"I","")
            )
        )
    ),
    IF(ISERROR(SEARCH("valvola di sicurezza",A381))=FALSE,"IV","")
)</f>
        <v/>
      </c>
    </row>
    <row r="382" spans="1:7" x14ac:dyDescent="0.3">
      <c r="A382" t="s">
        <v>7</v>
      </c>
      <c r="B382" t="s">
        <v>293</v>
      </c>
      <c r="C382" s="2" t="s">
        <v>29</v>
      </c>
      <c r="D382" s="1">
        <v>720</v>
      </c>
      <c r="E382" s="1">
        <v>11</v>
      </c>
      <c r="F382" s="3" t="s">
        <v>10</v>
      </c>
      <c r="G382" s="1" t="str">
        <f>IF(OR(ISERROR(SEARCH("recipiente",A382))=FALSE, ISERROR(SEARCH("serbatoio",A382))=FALSE, ISERROR(SEARCH("scambiatore",A382))=FALSE),
    IF(D382*E382&gt;3000,"IV",
        IF(D382*E382&gt;1000,"III",
            IF(D382*E382&gt;200,"II",
                IF(D382*E382&gt;50,"I","")
            )
        )
    ),
    IF(ISERROR(SEARCH("valvola di sicurezza",A382))=FALSE,"IV","")
)</f>
        <v>IV</v>
      </c>
    </row>
    <row r="383" spans="1:7" x14ac:dyDescent="0.3">
      <c r="A383" t="s">
        <v>7</v>
      </c>
      <c r="B383" t="s">
        <v>293</v>
      </c>
      <c r="C383" s="2" t="s">
        <v>16</v>
      </c>
      <c r="D383" s="1">
        <v>500</v>
      </c>
      <c r="E383" s="1">
        <v>11</v>
      </c>
      <c r="F383" s="3" t="s">
        <v>10</v>
      </c>
      <c r="G383" s="1" t="str">
        <f>IF(OR(ISERROR(SEARCH("recipiente",A383))=FALSE, ISERROR(SEARCH("serbatoio",A383))=FALSE, ISERROR(SEARCH("scambiatore",A383))=FALSE),
    IF(D383*E383&gt;3000,"IV",
        IF(D383*E383&gt;1000,"III",
            IF(D383*E383&gt;200,"II",
                IF(D383*E383&gt;50,"I","")
            )
        )
    ),
    IF(ISERROR(SEARCH("valvola di sicurezza",A383))=FALSE,"IV","")
)</f>
        <v>IV</v>
      </c>
    </row>
    <row r="384" spans="1:7" x14ac:dyDescent="0.3">
      <c r="A384" t="s">
        <v>65</v>
      </c>
      <c r="B384" t="s">
        <v>1005</v>
      </c>
      <c r="C384" s="2" t="s">
        <v>1006</v>
      </c>
      <c r="D384" s="1">
        <v>5010</v>
      </c>
      <c r="E384" s="1">
        <v>10</v>
      </c>
      <c r="F384" s="3"/>
      <c r="G384" s="1"/>
    </row>
    <row r="385" spans="1:7" x14ac:dyDescent="0.3">
      <c r="A385" t="s">
        <v>7</v>
      </c>
      <c r="B385" t="s">
        <v>294</v>
      </c>
      <c r="C385" s="2" t="s">
        <v>295</v>
      </c>
      <c r="D385" s="1">
        <v>986</v>
      </c>
      <c r="E385" s="1">
        <v>12</v>
      </c>
      <c r="F385" s="3" t="s">
        <v>296</v>
      </c>
      <c r="G385" s="1" t="str">
        <f>IF(OR(ISERROR(SEARCH("recipiente",A385))=FALSE, ISERROR(SEARCH("serbatoio",A385))=FALSE, ISERROR(SEARCH("scambiatore",A385))=FALSE),
    IF(D385*E385&gt;3000,"IV",
        IF(D385*E385&gt;1000,"III",
            IF(D385*E385&gt;200,"II",
                IF(D385*E385&gt;50,"I","")
            )
        )
    ),
    IF(ISERROR(SEARCH("valvola di sicurezza",A385))=FALSE,"IV","")
)</f>
        <v>IV</v>
      </c>
    </row>
    <row r="386" spans="1:7" x14ac:dyDescent="0.3">
      <c r="A386" t="s">
        <v>7</v>
      </c>
      <c r="B386" t="s">
        <v>994</v>
      </c>
      <c r="C386" s="2" t="s">
        <v>995</v>
      </c>
      <c r="D386" s="1">
        <v>720</v>
      </c>
      <c r="E386" s="1">
        <v>11</v>
      </c>
      <c r="F386" s="4" t="s">
        <v>10</v>
      </c>
      <c r="G386" s="1" t="str">
        <f>IF(OR(ISERROR(SEARCH("recipiente",A386))=FALSE, ISERROR(SEARCH("serbatoio",A386))=FALSE, ISERROR(SEARCH("scambiatore",A386))=FALSE),
    IF(D386*E386&gt;3000,"IV",
        IF(D386*E386&gt;1000,"III",
            IF(D386*E386&gt;200,"II",
                IF(D386*E386&gt;50,"I","")
            )
        )
    ),
    IF(ISERROR(SEARCH("valvola di sicurezza",A386))=FALSE,"IV","")
)</f>
        <v>IV</v>
      </c>
    </row>
    <row r="387" spans="1:7" x14ac:dyDescent="0.3">
      <c r="A387" t="s">
        <v>1016</v>
      </c>
      <c r="B387" t="s">
        <v>994</v>
      </c>
      <c r="C387" s="2" t="s">
        <v>1017</v>
      </c>
      <c r="D387" s="1">
        <v>270</v>
      </c>
      <c r="E387" s="1">
        <v>16</v>
      </c>
      <c r="F387" s="4" t="s">
        <v>10</v>
      </c>
      <c r="G387" s="1" t="str">
        <f>IF(OR(ISERROR(SEARCH("recipiente",A387))=FALSE, ISERROR(SEARCH("serbatoio",A387))=FALSE, ISERROR(SEARCH("scambiatore",A387))=FALSE),
    IF(D387*E387&gt;3000,"IV",
        IF(D387*E387&gt;1000,"III",
            IF(D387*E387&gt;200,"II",
                IF(D387*E387&gt;50,"I","")
            )
        )
    ),
    IF(ISERROR(SEARCH("valvola di sicurezza",A387))=FALSE,"IV","")
)</f>
        <v>IV</v>
      </c>
    </row>
    <row r="388" spans="1:7" x14ac:dyDescent="0.3">
      <c r="A388" t="s">
        <v>33</v>
      </c>
      <c r="B388" t="s">
        <v>997</v>
      </c>
      <c r="C388" s="2" t="s">
        <v>998</v>
      </c>
      <c r="D388" s="1">
        <v>55</v>
      </c>
      <c r="E388" s="1">
        <v>16</v>
      </c>
      <c r="F388" s="3" t="s">
        <v>10</v>
      </c>
      <c r="G388" s="1" t="str">
        <f>IF(OR(ISERROR(SEARCH("recipiente",A388))=FALSE, ISERROR(SEARCH("serbatoio",A388))=FALSE, ISERROR(SEARCH("scambiatore",A388))=FALSE),
    IF(D388*E388&gt;3000,"IV",
        IF(D388*E388&gt;1000,"III",
            IF(D388*E388&gt;200,"II",
                IF(D388*E388&gt;50,"I","")
            )
        )
    ),
    IF(ISERROR(SEARCH("valvola di sicurezza",A388))=FALSE,"IV","")
)</f>
        <v>II</v>
      </c>
    </row>
    <row r="389" spans="1:7" x14ac:dyDescent="0.3">
      <c r="A389" t="s">
        <v>7</v>
      </c>
      <c r="B389" t="s">
        <v>297</v>
      </c>
      <c r="C389" s="2" t="s">
        <v>298</v>
      </c>
      <c r="D389" s="1">
        <v>2000</v>
      </c>
      <c r="E389" s="1">
        <v>12</v>
      </c>
      <c r="F389" s="3" t="s">
        <v>31</v>
      </c>
      <c r="G389" s="1" t="str">
        <f>IF(OR(ISERROR(SEARCH("recipiente",A389))=FALSE, ISERROR(SEARCH("serbatoio",A389))=FALSE, ISERROR(SEARCH("scambiatore",A389))=FALSE),
    IF(D389*E389&gt;3000,"IV",
        IF(D389*E389&gt;1000,"III",
            IF(D389*E389&gt;200,"II",
                IF(D389*E389&gt;50,"I","")
            )
        )
    ),
    IF(ISERROR(SEARCH("valvola di sicurezza",A389))=FALSE,"IV","")
)</f>
        <v>IV</v>
      </c>
    </row>
    <row r="390" spans="1:7" x14ac:dyDescent="0.3">
      <c r="A390" t="s">
        <v>33</v>
      </c>
      <c r="B390" t="s">
        <v>988</v>
      </c>
      <c r="C390" s="2"/>
      <c r="D390" s="1"/>
      <c r="E390" s="1"/>
      <c r="F390" s="5"/>
      <c r="G390" s="1" t="str">
        <f>IF(OR(ISERROR(SEARCH("recipiente",A390))=FALSE, ISERROR(SEARCH("serbatoio",A390))=FALSE, ISERROR(SEARCH("scambiatore",A390))=FALSE),
    IF(D390*E390&gt;3000,"IV",
        IF(D390*E390&gt;1000,"III",
            IF(D390*E390&gt;200,"II",
                IF(D390*E390&gt;50,"I","")
            )
        )
    ),
    IF(ISERROR(SEARCH("valvola di sicurezza",A390))=FALSE,"IV","")
)</f>
        <v/>
      </c>
    </row>
    <row r="391" spans="1:7" x14ac:dyDescent="0.3">
      <c r="A391" t="s">
        <v>33</v>
      </c>
      <c r="B391" t="s">
        <v>988</v>
      </c>
      <c r="C391" s="2" t="s">
        <v>60</v>
      </c>
      <c r="D391" s="1">
        <v>28</v>
      </c>
      <c r="E391" s="1">
        <v>15</v>
      </c>
      <c r="F391" s="3" t="s">
        <v>10</v>
      </c>
      <c r="G391" s="1" t="str">
        <f>IF(OR(ISERROR(SEARCH("recipiente",A391))=FALSE, ISERROR(SEARCH("serbatoio",A391))=FALSE, ISERROR(SEARCH("scambiatore",A391))=FALSE),
    IF(D391*E391&gt;3000,"IV",
        IF(D391*E391&gt;1000,"III",
            IF(D391*E391&gt;200,"II",
                IF(D391*E391&gt;50,"I","")
            )
        )
    ),
    IF(ISERROR(SEARCH("valvola di sicurezza",A391))=FALSE,"IV","")
)</f>
        <v>II</v>
      </c>
    </row>
    <row r="392" spans="1:7" x14ac:dyDescent="0.3">
      <c r="A392" t="s">
        <v>33</v>
      </c>
      <c r="B392" t="s">
        <v>988</v>
      </c>
      <c r="C392" s="2" t="s">
        <v>991</v>
      </c>
      <c r="D392" s="1">
        <v>38</v>
      </c>
      <c r="E392" s="1">
        <v>14</v>
      </c>
      <c r="F392" s="3" t="s">
        <v>10</v>
      </c>
      <c r="G392" s="1" t="str">
        <f>IF(OR(ISERROR(SEARCH("recipiente",A392))=FALSE, ISERROR(SEARCH("serbatoio",A392))=FALSE, ISERROR(SEARCH("scambiatore",A392))=FALSE),
    IF(D392*E392&gt;3000,"IV",
        IF(D392*E392&gt;1000,"III",
            IF(D392*E392&gt;200,"II",
                IF(D392*E392&gt;50,"I","")
            )
        )
    ),
    IF(ISERROR(SEARCH("valvola di sicurezza",A392))=FALSE,"IV","")
)</f>
        <v>II</v>
      </c>
    </row>
    <row r="393" spans="1:7" x14ac:dyDescent="0.3">
      <c r="A393" t="s">
        <v>65</v>
      </c>
      <c r="B393" t="s">
        <v>299</v>
      </c>
      <c r="C393" s="2" t="s">
        <v>300</v>
      </c>
      <c r="D393" s="1">
        <v>620</v>
      </c>
      <c r="E393" s="1">
        <v>10</v>
      </c>
      <c r="F393" s="5"/>
      <c r="G393" s="1" t="str">
        <f>IF(OR(ISERROR(SEARCH("recipiente",A393))=FALSE, ISERROR(SEARCH("serbatoio",A393))=FALSE, ISERROR(SEARCH("scambiatore",A393))=FALSE),
    IF(D393*E393&gt;3000,"IV",
        IF(D393*E393&gt;1000,"III",
            IF(D393*E393&gt;200,"II",
                IF(D393*E393&gt;50,"I","")
            )
        )
    ),
    IF(ISERROR(SEARCH("valvola di sicurezza",A393))=FALSE,"IV","")
)</f>
        <v/>
      </c>
    </row>
    <row r="394" spans="1:7" x14ac:dyDescent="0.3">
      <c r="A394" t="s">
        <v>65</v>
      </c>
      <c r="B394" t="s">
        <v>299</v>
      </c>
      <c r="C394" s="2" t="s">
        <v>990</v>
      </c>
      <c r="D394" s="1">
        <v>5200</v>
      </c>
      <c r="E394" s="1">
        <v>10</v>
      </c>
      <c r="F394" s="5"/>
      <c r="G394" s="1" t="str">
        <f>IF(OR(ISERROR(SEARCH("recipiente",A394))=FALSE, ISERROR(SEARCH("serbatoio",A394))=FALSE, ISERROR(SEARCH("scambiatore",A394))=FALSE),
    IF(D394*E394&gt;3000,"IV",
        IF(D394*E394&gt;1000,"III",
            IF(D394*E394&gt;200,"II",
                IF(D394*E394&gt;50,"I","")
            )
        )
    ),
    IF(ISERROR(SEARCH("valvola di sicurezza",A394))=FALSE,"IV","")
)</f>
        <v/>
      </c>
    </row>
    <row r="395" spans="1:7" x14ac:dyDescent="0.3">
      <c r="A395" t="s">
        <v>301</v>
      </c>
      <c r="B395" t="s">
        <v>299</v>
      </c>
      <c r="C395" s="2" t="s">
        <v>996</v>
      </c>
      <c r="D395" s="1">
        <v>5200</v>
      </c>
      <c r="E395" s="1">
        <v>14</v>
      </c>
      <c r="F395" s="5">
        <v>55</v>
      </c>
      <c r="G395" s="1" t="str">
        <f>IF(OR(ISERROR(SEARCH("recipiente",A395))=FALSE, ISERROR(SEARCH("serbatoio",A395))=FALSE, ISERROR(SEARCH("scambiatore",A395))=FALSE),
    IF(D395*E395&gt;3000,"IV",
        IF(D395*E395&gt;1000,"III",
            IF(D395*E395&gt;200,"II",
                IF(D395*E395&gt;50,"I","")
            )
        )
    ),
    IF(ISERROR(SEARCH("valvola di sicurezza",A395))=FALSE,"IV","")
)</f>
        <v/>
      </c>
    </row>
    <row r="396" spans="1:7" x14ac:dyDescent="0.3">
      <c r="A396" t="s">
        <v>301</v>
      </c>
      <c r="B396" t="s">
        <v>302</v>
      </c>
      <c r="C396" s="2" t="s">
        <v>303</v>
      </c>
      <c r="D396" s="1">
        <v>350</v>
      </c>
      <c r="E396" s="1">
        <v>16</v>
      </c>
      <c r="F396" s="3">
        <v>55</v>
      </c>
      <c r="G396" s="1" t="str">
        <f>IF(OR(ISERROR(SEARCH("recipiente",A396))=FALSE, ISERROR(SEARCH("serbatoio",A396))=FALSE, ISERROR(SEARCH("scambiatore",A396))=FALSE),
    IF(#REF!*E396&gt;3000,"IV",
        IF(#REF!*E396&gt;1000,"III",
            IF(#REF!*E396&gt;200,"II",
                IF(#REF!*E396&gt;50,"I","")
            )
        )
    ),
    IF(ISERROR(SEARCH("valvola di sicurezza",A396))=FALSE,"IV","")
)</f>
        <v/>
      </c>
    </row>
    <row r="397" spans="1:7" x14ac:dyDescent="0.3">
      <c r="A397" t="s">
        <v>301</v>
      </c>
      <c r="B397" t="s">
        <v>302</v>
      </c>
      <c r="C397" s="2" t="s">
        <v>304</v>
      </c>
      <c r="D397" s="1">
        <v>600</v>
      </c>
      <c r="E397" s="1">
        <v>16</v>
      </c>
      <c r="F397" s="3">
        <v>55</v>
      </c>
      <c r="G397" s="1" t="str">
        <f>IF(OR(ISERROR(SEARCH("recipiente",A397))=FALSE, ISERROR(SEARCH("serbatoio",A397))=FALSE, ISERROR(SEARCH("scambiatore",A397))=FALSE),
    IF(#REF!*E397&gt;3000,"IV",
        IF(#REF!*E397&gt;1000,"III",
            IF(#REF!*E397&gt;200,"II",
                IF(#REF!*E397&gt;50,"I","")
            )
        )
    ),
    IF(ISERROR(SEARCH("valvola di sicurezza",A397))=FALSE,"IV","")
)</f>
        <v/>
      </c>
    </row>
    <row r="398" spans="1:7" x14ac:dyDescent="0.3">
      <c r="A398" t="s">
        <v>301</v>
      </c>
      <c r="B398" t="s">
        <v>302</v>
      </c>
      <c r="C398" s="2" t="s">
        <v>305</v>
      </c>
      <c r="D398" s="1">
        <v>950</v>
      </c>
      <c r="E398" s="1">
        <v>16</v>
      </c>
      <c r="F398" s="3">
        <v>55</v>
      </c>
      <c r="G398" s="1" t="str">
        <f>IF(OR(ISERROR(SEARCH("recipiente",A398))=FALSE, ISERROR(SEARCH("serbatoio",A398))=FALSE, ISERROR(SEARCH("scambiatore",A398))=FALSE),
    IF(#REF!*E398&gt;3000,"IV",
        IF(#REF!*E398&gt;1000,"III",
            IF(#REF!*E398&gt;200,"II",
                IF(#REF!*E398&gt;50,"I","")
            )
        )
    ),
    IF(ISERROR(SEARCH("valvola di sicurezza",A398))=FALSE,"IV","")
)</f>
        <v/>
      </c>
    </row>
    <row r="399" spans="1:7" x14ac:dyDescent="0.3">
      <c r="A399" t="s">
        <v>301</v>
      </c>
      <c r="B399" t="s">
        <v>302</v>
      </c>
      <c r="C399" s="2" t="s">
        <v>306</v>
      </c>
      <c r="D399" s="6">
        <v>1200</v>
      </c>
      <c r="E399" s="1">
        <v>16</v>
      </c>
      <c r="F399" s="3">
        <v>55</v>
      </c>
      <c r="G399" s="1" t="str">
        <f>IF(OR(ISERROR(SEARCH("recipiente",A399))=FALSE, ISERROR(SEARCH("serbatoio",A399))=FALSE, ISERROR(SEARCH("scambiatore",A399))=FALSE),
    IF(#REF!*E399&gt;3000,"IV",
        IF(#REF!*E399&gt;1000,"III",
            IF(#REF!*E399&gt;200,"II",
                IF(#REF!*E399&gt;50,"I","")
            )
        )
    ),
    IF(ISERROR(SEARCH("valvola di sicurezza",A399))=FALSE,"IV","")
)</f>
        <v/>
      </c>
    </row>
    <row r="400" spans="1:7" x14ac:dyDescent="0.3">
      <c r="A400" t="s">
        <v>301</v>
      </c>
      <c r="B400" t="s">
        <v>302</v>
      </c>
      <c r="C400" s="2" t="s">
        <v>307</v>
      </c>
      <c r="D400" s="6">
        <v>1800</v>
      </c>
      <c r="E400" s="1">
        <v>16</v>
      </c>
      <c r="F400" s="3">
        <v>55</v>
      </c>
      <c r="G400" s="1" t="str">
        <f>IF(OR(ISERROR(SEARCH("recipiente",A400))=FALSE, ISERROR(SEARCH("serbatoio",A400))=FALSE, ISERROR(SEARCH("scambiatore",A400))=FALSE),
    IF(#REF!*E400&gt;3000,"IV",
        IF(#REF!*E400&gt;1000,"III",
            IF(#REF!*E400&gt;200,"II",
                IF(#REF!*E400&gt;50,"I","")
            )
        )
    ),
    IF(ISERROR(SEARCH("valvola di sicurezza",A400))=FALSE,"IV","")
)</f>
        <v/>
      </c>
    </row>
    <row r="401" spans="1:7" x14ac:dyDescent="0.3">
      <c r="A401" t="s">
        <v>301</v>
      </c>
      <c r="B401" t="s">
        <v>302</v>
      </c>
      <c r="C401" s="2" t="s">
        <v>308</v>
      </c>
      <c r="D401" s="6">
        <v>2500</v>
      </c>
      <c r="E401" s="1">
        <v>14</v>
      </c>
      <c r="F401" s="3">
        <v>55</v>
      </c>
      <c r="G401" s="1" t="str">
        <f>IF(OR(ISERROR(SEARCH("recipiente",A401))=FALSE, ISERROR(SEARCH("serbatoio",A401))=FALSE, ISERROR(SEARCH("scambiatore",A401))=FALSE),
    IF(#REF!*E401&gt;3000,"IV",
        IF(#REF!*E401&gt;1000,"III",
            IF(#REF!*E401&gt;200,"II",
                IF(#REF!*E401&gt;50,"I","")
            )
        )
    ),
    IF(ISERROR(SEARCH("valvola di sicurezza",A401))=FALSE,"IV","")
)</f>
        <v/>
      </c>
    </row>
    <row r="402" spans="1:7" x14ac:dyDescent="0.3">
      <c r="A402" t="s">
        <v>301</v>
      </c>
      <c r="B402" t="s">
        <v>302</v>
      </c>
      <c r="C402" s="2" t="s">
        <v>309</v>
      </c>
      <c r="D402" s="6">
        <v>3200</v>
      </c>
      <c r="E402" s="1">
        <v>14</v>
      </c>
      <c r="F402" s="3">
        <v>55</v>
      </c>
      <c r="G402" s="1" t="str">
        <f>IF(OR(ISERROR(SEARCH("recipiente",A402))=FALSE, ISERROR(SEARCH("serbatoio",A402))=FALSE, ISERROR(SEARCH("scambiatore",A402))=FALSE),
    IF(#REF!*E402&gt;3000,"IV",
        IF(#REF!*E402&gt;1000,"III",
            IF(#REF!*E402&gt;200,"II",
                IF(#REF!*E402&gt;50,"I","")
            )
        )
    ),
    IF(ISERROR(SEARCH("valvola di sicurezza",A402))=FALSE,"IV","")
)</f>
        <v/>
      </c>
    </row>
    <row r="403" spans="1:7" x14ac:dyDescent="0.3">
      <c r="A403" t="s">
        <v>301</v>
      </c>
      <c r="B403" t="s">
        <v>302</v>
      </c>
      <c r="C403" s="2" t="s">
        <v>310</v>
      </c>
      <c r="D403" s="6">
        <v>4300</v>
      </c>
      <c r="E403" s="1">
        <v>14</v>
      </c>
      <c r="F403" s="3">
        <v>55</v>
      </c>
      <c r="G403" s="1" t="str">
        <f>IF(OR(ISERROR(SEARCH("recipiente",A403))=FALSE, ISERROR(SEARCH("serbatoio",A403))=FALSE, ISERROR(SEARCH("scambiatore",A403))=FALSE),
    IF(#REF!*E403&gt;3000,"IV",
        IF(#REF!*E403&gt;1000,"III",
            IF(#REF!*E403&gt;200,"II",
                IF(#REF!*E403&gt;50,"I","")
            )
        )
    ),
    IF(ISERROR(SEARCH("valvola di sicurezza",A403))=FALSE,"IV","")
)</f>
        <v/>
      </c>
    </row>
    <row r="404" spans="1:7" x14ac:dyDescent="0.3">
      <c r="A404" t="s">
        <v>301</v>
      </c>
      <c r="B404" t="s">
        <v>302</v>
      </c>
      <c r="C404" s="2" t="s">
        <v>311</v>
      </c>
      <c r="D404" s="6">
        <v>5200</v>
      </c>
      <c r="E404" s="1">
        <v>14</v>
      </c>
      <c r="F404" s="3">
        <v>55</v>
      </c>
      <c r="G404" s="1" t="str">
        <f>IF(OR(ISERROR(SEARCH("recipiente",A404))=FALSE, ISERROR(SEARCH("serbatoio",A404))=FALSE, ISERROR(SEARCH("scambiatore",A404))=FALSE),
    IF(#REF!*E404&gt;3000,"IV",
        IF(#REF!*E404&gt;1000,"III",
            IF(#REF!*E404&gt;200,"II",
                IF(#REF!*E404&gt;50,"I","")
            )
        )
    ),
    IF(ISERROR(SEARCH("valvola di sicurezza",A404))=FALSE,"IV","")
)</f>
        <v/>
      </c>
    </row>
    <row r="405" spans="1:7" x14ac:dyDescent="0.3">
      <c r="A405" t="s">
        <v>301</v>
      </c>
      <c r="B405" t="s">
        <v>302</v>
      </c>
      <c r="C405" s="2" t="s">
        <v>312</v>
      </c>
      <c r="D405" s="6">
        <v>6100</v>
      </c>
      <c r="E405" s="1">
        <v>14</v>
      </c>
      <c r="F405" s="3">
        <v>55</v>
      </c>
      <c r="G405" s="1" t="str">
        <f>IF(OR(ISERROR(SEARCH("recipiente",A405))=FALSE, ISERROR(SEARCH("serbatoio",A405))=FALSE, ISERROR(SEARCH("scambiatore",A405))=FALSE),
    IF(#REF!*E405&gt;3000,"IV",
        IF(#REF!*E405&gt;1000,"III",
            IF(#REF!*E405&gt;200,"II",
                IF(#REF!*E405&gt;50,"I","")
            )
        )
    ),
    IF(ISERROR(SEARCH("valvola di sicurezza",A405))=FALSE,"IV","")
)</f>
        <v/>
      </c>
    </row>
    <row r="406" spans="1:7" x14ac:dyDescent="0.3">
      <c r="A406" t="s">
        <v>301</v>
      </c>
      <c r="B406" t="s">
        <v>302</v>
      </c>
      <c r="C406" s="2" t="s">
        <v>313</v>
      </c>
      <c r="D406" s="6">
        <v>7500</v>
      </c>
      <c r="E406" s="1">
        <v>14</v>
      </c>
      <c r="F406" s="3">
        <v>55</v>
      </c>
      <c r="G406" s="1" t="str">
        <f>IF(OR(ISERROR(SEARCH("recipiente",A406))=FALSE, ISERROR(SEARCH("serbatoio",A406))=FALSE, ISERROR(SEARCH("scambiatore",A406))=FALSE),
    IF(#REF!*E406&gt;3000,"IV",
        IF(#REF!*E406&gt;1000,"III",
            IF(#REF!*E406&gt;200,"II",
                IF(#REF!*E406&gt;50,"I","")
            )
        )
    ),
    IF(ISERROR(SEARCH("valvola di sicurezza",A406))=FALSE,"IV","")
)</f>
        <v/>
      </c>
    </row>
    <row r="407" spans="1:7" x14ac:dyDescent="0.3">
      <c r="A407" t="s">
        <v>301</v>
      </c>
      <c r="B407" t="s">
        <v>302</v>
      </c>
      <c r="C407" s="2" t="s">
        <v>314</v>
      </c>
      <c r="D407" s="6">
        <v>10500</v>
      </c>
      <c r="E407" s="1">
        <v>14</v>
      </c>
      <c r="F407" s="3">
        <v>55</v>
      </c>
      <c r="G407" s="1" t="str">
        <f>IF(OR(ISERROR(SEARCH("recipiente",A407))=FALSE, ISERROR(SEARCH("serbatoio",A407))=FALSE, ISERROR(SEARCH("scambiatore",A407))=FALSE),
    IF(#REF!*E407&gt;3000,"IV",
        IF(#REF!*E407&gt;1000,"III",
            IF(#REF!*E407&gt;200,"II",
                IF(#REF!*E407&gt;50,"I","")
            )
        )
    ),
    IF(ISERROR(SEARCH("valvola di sicurezza",A407))=FALSE,"IV","")
)</f>
        <v/>
      </c>
    </row>
    <row r="408" spans="1:7" x14ac:dyDescent="0.3">
      <c r="A408" t="s">
        <v>301</v>
      </c>
      <c r="B408" t="s">
        <v>302</v>
      </c>
      <c r="C408" s="2" t="s">
        <v>315</v>
      </c>
      <c r="D408" s="6">
        <v>13000</v>
      </c>
      <c r="E408" s="1">
        <v>14</v>
      </c>
      <c r="F408" s="3">
        <v>55</v>
      </c>
      <c r="G408" s="1" t="str">
        <f>IF(OR(ISERROR(SEARCH("recipiente",A408))=FALSE, ISERROR(SEARCH("serbatoio",A408))=FALSE, ISERROR(SEARCH("scambiatore",A408))=FALSE),
    IF(#REF!*E408&gt;3000,"IV",
        IF(#REF!*E408&gt;1000,"III",
            IF(#REF!*E408&gt;200,"II",
                IF(#REF!*E408&gt;50,"I","")
            )
        )
    ),
    IF(ISERROR(SEARCH("valvola di sicurezza",A408))=FALSE,"IV","")
)</f>
        <v/>
      </c>
    </row>
    <row r="409" spans="1:7" x14ac:dyDescent="0.3">
      <c r="A409" t="s">
        <v>301</v>
      </c>
      <c r="B409" t="s">
        <v>302</v>
      </c>
      <c r="C409" s="2" t="s">
        <v>316</v>
      </c>
      <c r="D409" s="6">
        <v>16800</v>
      </c>
      <c r="E409" s="1">
        <v>14</v>
      </c>
      <c r="F409" s="3">
        <v>55</v>
      </c>
      <c r="G409" s="1" t="str">
        <f>IF(OR(ISERROR(SEARCH("recipiente",A409))=FALSE, ISERROR(SEARCH("serbatoio",A409))=FALSE, ISERROR(SEARCH("scambiatore",A409))=FALSE),
    IF(#REF!*E409&gt;3000,"IV",
        IF(#REF!*E409&gt;1000,"III",
            IF(#REF!*E409&gt;200,"II",
                IF(#REF!*E409&gt;50,"I","")
            )
        )
    ),
    IF(ISERROR(SEARCH("valvola di sicurezza",A409))=FALSE,"IV","")
)</f>
        <v/>
      </c>
    </row>
    <row r="410" spans="1:7" x14ac:dyDescent="0.3">
      <c r="A410" t="s">
        <v>301</v>
      </c>
      <c r="B410" t="s">
        <v>302</v>
      </c>
      <c r="C410" s="2" t="s">
        <v>317</v>
      </c>
      <c r="D410" s="6">
        <v>19000</v>
      </c>
      <c r="E410" s="1">
        <v>14</v>
      </c>
      <c r="F410" s="3">
        <v>55</v>
      </c>
      <c r="G410" s="1" t="str">
        <f>IF(OR(ISERROR(SEARCH("recipiente",A410))=FALSE, ISERROR(SEARCH("serbatoio",A410))=FALSE, ISERROR(SEARCH("scambiatore",A410))=FALSE),
    IF(#REF!*E410&gt;3000,"IV",
        IF(#REF!*E410&gt;1000,"III",
            IF(#REF!*E410&gt;200,"II",
                IF(#REF!*E410&gt;50,"I","")
            )
        )
    ),
    IF(ISERROR(SEARCH("valvola di sicurezza",A410))=FALSE,"IV","")
)</f>
        <v/>
      </c>
    </row>
    <row r="411" spans="1:7" x14ac:dyDescent="0.3">
      <c r="A411" t="s">
        <v>301</v>
      </c>
      <c r="B411" t="s">
        <v>302</v>
      </c>
      <c r="C411" s="2" t="s">
        <v>318</v>
      </c>
      <c r="D411" s="6">
        <v>22000</v>
      </c>
      <c r="E411" s="1">
        <v>14</v>
      </c>
      <c r="F411" s="3">
        <v>55</v>
      </c>
      <c r="G411" s="1" t="str">
        <f>IF(OR(ISERROR(SEARCH("recipiente",A411))=FALSE, ISERROR(SEARCH("serbatoio",A411))=FALSE, ISERROR(SEARCH("scambiatore",A411))=FALSE),
    IF(#REF!*E411&gt;3000,"IV",
        IF(#REF!*E411&gt;1000,"III",
            IF(#REF!*E411&gt;200,"II",
                IF(#REF!*E411&gt;50,"I","")
            )
        )
    ),
    IF(ISERROR(SEARCH("valvola di sicurezza",A411))=FALSE,"IV","")
)</f>
        <v/>
      </c>
    </row>
    <row r="412" spans="1:7" x14ac:dyDescent="0.3">
      <c r="A412" t="s">
        <v>301</v>
      </c>
      <c r="B412" t="s">
        <v>302</v>
      </c>
      <c r="C412" s="2" t="s">
        <v>319</v>
      </c>
      <c r="D412" s="1">
        <v>350</v>
      </c>
      <c r="E412" s="1">
        <v>16</v>
      </c>
      <c r="F412" s="3">
        <v>70</v>
      </c>
      <c r="G412" s="1" t="str">
        <f>IF(OR(ISERROR(SEARCH("recipiente",A412))=FALSE, ISERROR(SEARCH("serbatoio",A412))=FALSE, ISERROR(SEARCH("scambiatore",A412))=FALSE),
    IF(#REF!*E412&gt;3000,"IV",
        IF(#REF!*E412&gt;1000,"III",
            IF(#REF!*E412&gt;200,"II",
                IF(#REF!*E412&gt;50,"I","")
            )
        )
    ),
    IF(ISERROR(SEARCH("valvola di sicurezza",A412))=FALSE,"IV","")
)</f>
        <v/>
      </c>
    </row>
    <row r="413" spans="1:7" x14ac:dyDescent="0.3">
      <c r="A413" t="s">
        <v>301</v>
      </c>
      <c r="B413" t="s">
        <v>302</v>
      </c>
      <c r="C413" s="2" t="s">
        <v>320</v>
      </c>
      <c r="D413" s="1">
        <v>550</v>
      </c>
      <c r="E413" s="1">
        <v>16</v>
      </c>
      <c r="F413" s="3">
        <v>70</v>
      </c>
      <c r="G413" s="1" t="str">
        <f>IF(OR(ISERROR(SEARCH("recipiente",A413))=FALSE, ISERROR(SEARCH("serbatoio",A413))=FALSE, ISERROR(SEARCH("scambiatore",A413))=FALSE),
    IF(#REF!*E413&gt;3000,"IV",
        IF(#REF!*E413&gt;1000,"III",
            IF(#REF!*E413&gt;200,"II",
                IF(#REF!*E413&gt;50,"I","")
            )
        )
    ),
    IF(ISERROR(SEARCH("valvola di sicurezza",A413))=FALSE,"IV","")
)</f>
        <v/>
      </c>
    </row>
    <row r="414" spans="1:7" x14ac:dyDescent="0.3">
      <c r="A414" t="s">
        <v>301</v>
      </c>
      <c r="B414" t="s">
        <v>302</v>
      </c>
      <c r="C414" s="2" t="s">
        <v>321</v>
      </c>
      <c r="D414" s="1">
        <v>850</v>
      </c>
      <c r="E414" s="1">
        <v>16</v>
      </c>
      <c r="F414" s="3">
        <v>70</v>
      </c>
      <c r="G414" s="1" t="str">
        <f>IF(OR(ISERROR(SEARCH("recipiente",A414))=FALSE, ISERROR(SEARCH("serbatoio",A414))=FALSE, ISERROR(SEARCH("scambiatore",A414))=FALSE),
    IF(#REF!*E414&gt;3000,"IV",
        IF(#REF!*E414&gt;1000,"III",
            IF(#REF!*E414&gt;200,"II",
                IF(#REF!*E414&gt;50,"I","")
            )
        )
    ),
    IF(ISERROR(SEARCH("valvola di sicurezza",A414))=FALSE,"IV","")
)</f>
        <v/>
      </c>
    </row>
    <row r="415" spans="1:7" x14ac:dyDescent="0.3">
      <c r="A415" t="s">
        <v>301</v>
      </c>
      <c r="B415" t="s">
        <v>302</v>
      </c>
      <c r="C415" s="2" t="s">
        <v>322</v>
      </c>
      <c r="D415" s="1">
        <v>1200</v>
      </c>
      <c r="E415" s="1">
        <v>16</v>
      </c>
      <c r="F415" s="3">
        <v>70</v>
      </c>
      <c r="G415" s="1" t="str">
        <f>IF(OR(ISERROR(SEARCH("recipiente",A415))=FALSE, ISERROR(SEARCH("serbatoio",A415))=FALSE, ISERROR(SEARCH("scambiatore",A415))=FALSE),
    IF(#REF!*E415&gt;3000,"IV",
        IF(#REF!*E415&gt;1000,"III",
            IF(#REF!*E415&gt;200,"II",
                IF(#REF!*E415&gt;50,"I","")
            )
        )
    ),
    IF(ISERROR(SEARCH("valvola di sicurezza",A415))=FALSE,"IV","")
)</f>
        <v/>
      </c>
    </row>
    <row r="416" spans="1:7" x14ac:dyDescent="0.3">
      <c r="A416" t="s">
        <v>301</v>
      </c>
      <c r="B416" t="s">
        <v>302</v>
      </c>
      <c r="C416" s="2" t="s">
        <v>323</v>
      </c>
      <c r="D416" s="1">
        <v>1800</v>
      </c>
      <c r="E416" s="1">
        <v>14</v>
      </c>
      <c r="F416" s="3">
        <v>70</v>
      </c>
      <c r="G416" s="1" t="str">
        <f>IF(OR(ISERROR(SEARCH("recipiente",A416))=FALSE, ISERROR(SEARCH("serbatoio",A416))=FALSE, ISERROR(SEARCH("scambiatore",A416))=FALSE),
    IF(#REF!*E416&gt;3000,"IV",
        IF(#REF!*E416&gt;1000,"III",
            IF(#REF!*E416&gt;200,"II",
                IF(#REF!*E416&gt;50,"I","")
            )
        )
    ),
    IF(ISERROR(SEARCH("valvola di sicurezza",A416))=FALSE,"IV","")
)</f>
        <v/>
      </c>
    </row>
    <row r="417" spans="1:7" x14ac:dyDescent="0.3">
      <c r="A417" t="s">
        <v>301</v>
      </c>
      <c r="B417" t="s">
        <v>302</v>
      </c>
      <c r="C417" s="2" t="s">
        <v>324</v>
      </c>
      <c r="D417" s="1">
        <v>2300</v>
      </c>
      <c r="E417" s="1">
        <v>14</v>
      </c>
      <c r="F417" s="3">
        <v>70</v>
      </c>
      <c r="G417" s="1" t="str">
        <f>IF(OR(ISERROR(SEARCH("recipiente",A417))=FALSE, ISERROR(SEARCH("serbatoio",A417))=FALSE, ISERROR(SEARCH("scambiatore",A417))=FALSE),
    IF(#REF!*E417&gt;3000,"IV",
        IF(#REF!*E417&gt;1000,"III",
            IF(#REF!*E417&gt;200,"II",
                IF(#REF!*E417&gt;50,"I","")
            )
        )
    ),
    IF(ISERROR(SEARCH("valvola di sicurezza",A417))=FALSE,"IV","")
)</f>
        <v/>
      </c>
    </row>
    <row r="418" spans="1:7" x14ac:dyDescent="0.3">
      <c r="A418" t="s">
        <v>301</v>
      </c>
      <c r="B418" t="s">
        <v>302</v>
      </c>
      <c r="C418" s="2" t="s">
        <v>325</v>
      </c>
      <c r="D418" s="1">
        <v>3100</v>
      </c>
      <c r="E418" s="1">
        <v>14</v>
      </c>
      <c r="F418" s="3">
        <v>70</v>
      </c>
      <c r="G418" s="1" t="str">
        <f>IF(OR(ISERROR(SEARCH("recipiente",A418))=FALSE, ISERROR(SEARCH("serbatoio",A418))=FALSE, ISERROR(SEARCH("scambiatore",A418))=FALSE),
    IF(#REF!*E418&gt;3000,"IV",
        IF(#REF!*E418&gt;1000,"III",
            IF(#REF!*E418&gt;200,"II",
                IF(#REF!*E418&gt;50,"I","")
            )
        )
    ),
    IF(ISERROR(SEARCH("valvola di sicurezza",A418))=FALSE,"IV","")
)</f>
        <v/>
      </c>
    </row>
    <row r="419" spans="1:7" x14ac:dyDescent="0.3">
      <c r="A419" t="s">
        <v>301</v>
      </c>
      <c r="B419" t="s">
        <v>302</v>
      </c>
      <c r="C419" s="2" t="s">
        <v>326</v>
      </c>
      <c r="D419" s="1">
        <v>4000</v>
      </c>
      <c r="E419" s="1">
        <v>14</v>
      </c>
      <c r="F419" s="3">
        <v>70</v>
      </c>
      <c r="G419" s="1" t="str">
        <f>IF(OR(ISERROR(SEARCH("recipiente",A419))=FALSE, ISERROR(SEARCH("serbatoio",A419))=FALSE, ISERROR(SEARCH("scambiatore",A419))=FALSE),
    IF(#REF!*E419&gt;3000,"IV",
        IF(#REF!*E419&gt;1000,"III",
            IF(#REF!*E419&gt;200,"II",
                IF(#REF!*E419&gt;50,"I","")
            )
        )
    ),
    IF(ISERROR(SEARCH("valvola di sicurezza",A419))=FALSE,"IV","")
)</f>
        <v/>
      </c>
    </row>
    <row r="420" spans="1:7" x14ac:dyDescent="0.3">
      <c r="A420" t="s">
        <v>301</v>
      </c>
      <c r="B420" t="s">
        <v>302</v>
      </c>
      <c r="C420" s="2" t="s">
        <v>327</v>
      </c>
      <c r="D420" s="1">
        <v>5500</v>
      </c>
      <c r="E420" s="1">
        <v>14</v>
      </c>
      <c r="F420" s="3">
        <v>70</v>
      </c>
      <c r="G420" s="1" t="str">
        <f>IF(OR(ISERROR(SEARCH("recipiente",A420))=FALSE, ISERROR(SEARCH("serbatoio",A420))=FALSE, ISERROR(SEARCH("scambiatore",A420))=FALSE),
    IF(#REF!*E420&gt;3000,"IV",
        IF(#REF!*E420&gt;1000,"III",
            IF(#REF!*E420&gt;200,"II",
                IF(#REF!*E420&gt;50,"I","")
            )
        )
    ),
    IF(ISERROR(SEARCH("valvola di sicurezza",A420))=FALSE,"IV","")
)</f>
        <v/>
      </c>
    </row>
    <row r="421" spans="1:7" x14ac:dyDescent="0.3">
      <c r="A421" t="s">
        <v>301</v>
      </c>
      <c r="B421" t="s">
        <v>302</v>
      </c>
      <c r="C421" s="2" t="s">
        <v>328</v>
      </c>
      <c r="D421" s="1">
        <v>6200</v>
      </c>
      <c r="E421" s="1">
        <v>14</v>
      </c>
      <c r="F421" s="3">
        <v>70</v>
      </c>
      <c r="G421" s="1" t="str">
        <f>IF(OR(ISERROR(SEARCH("recipiente",A421))=FALSE, ISERROR(SEARCH("serbatoio",A421))=FALSE, ISERROR(SEARCH("scambiatore",A421))=FALSE),
    IF(#REF!*E421&gt;3000,"IV",
        IF(#REF!*E421&gt;1000,"III",
            IF(#REF!*E421&gt;200,"II",
                IF(#REF!*E421&gt;50,"I","")
            )
        )
    ),
    IF(ISERROR(SEARCH("valvola di sicurezza",A421))=FALSE,"IV","")
)</f>
        <v/>
      </c>
    </row>
    <row r="422" spans="1:7" x14ac:dyDescent="0.3">
      <c r="A422" t="s">
        <v>301</v>
      </c>
      <c r="B422" t="s">
        <v>302</v>
      </c>
      <c r="C422" s="2" t="s">
        <v>329</v>
      </c>
      <c r="D422" s="1">
        <v>8100</v>
      </c>
      <c r="E422" s="1">
        <v>14</v>
      </c>
      <c r="F422" s="3">
        <v>70</v>
      </c>
      <c r="G422" s="1" t="str">
        <f>IF(OR(ISERROR(SEARCH("recipiente",A422))=FALSE, ISERROR(SEARCH("serbatoio",A422))=FALSE, ISERROR(SEARCH("scambiatore",A422))=FALSE),
    IF(#REF!*E422&gt;3000,"IV",
        IF(#REF!*E422&gt;1000,"III",
            IF(#REF!*E422&gt;200,"II",
                IF(#REF!*E422&gt;50,"I","")
            )
        )
    ),
    IF(ISERROR(SEARCH("valvola di sicurezza",A422))=FALSE,"IV","")
)</f>
        <v/>
      </c>
    </row>
    <row r="423" spans="1:7" x14ac:dyDescent="0.3">
      <c r="A423" t="s">
        <v>301</v>
      </c>
      <c r="B423" t="s">
        <v>302</v>
      </c>
      <c r="C423" s="2" t="s">
        <v>330</v>
      </c>
      <c r="D423" s="1">
        <v>10500</v>
      </c>
      <c r="E423" s="1">
        <v>14</v>
      </c>
      <c r="F423" s="3">
        <v>70</v>
      </c>
      <c r="G423" s="1" t="str">
        <f>IF(OR(ISERROR(SEARCH("recipiente",A423))=FALSE, ISERROR(SEARCH("serbatoio",A423))=FALSE, ISERROR(SEARCH("scambiatore",A423))=FALSE),
    IF(#REF!*E423&gt;3000,"IV",
        IF(#REF!*E423&gt;1000,"III",
            IF(#REF!*E423&gt;200,"II",
                IF(#REF!*E423&gt;50,"I","")
            )
        )
    ),
    IF(ISERROR(SEARCH("valvola di sicurezza",A423))=FALSE,"IV","")
)</f>
        <v/>
      </c>
    </row>
    <row r="424" spans="1:7" x14ac:dyDescent="0.3">
      <c r="A424" t="s">
        <v>301</v>
      </c>
      <c r="B424" t="s">
        <v>302</v>
      </c>
      <c r="C424" s="2" t="s">
        <v>331</v>
      </c>
      <c r="D424" s="1">
        <v>12500</v>
      </c>
      <c r="E424" s="1">
        <v>14</v>
      </c>
      <c r="F424" s="3">
        <v>70</v>
      </c>
      <c r="G424" s="1" t="str">
        <f>IF(OR(ISERROR(SEARCH("recipiente",A424))=FALSE, ISERROR(SEARCH("serbatoio",A424))=FALSE, ISERROR(SEARCH("scambiatore",A424))=FALSE),
    IF(#REF!*E424&gt;3000,"IV",
        IF(#REF!*E424&gt;1000,"III",
            IF(#REF!*E424&gt;200,"II",
                IF(#REF!*E424&gt;50,"I","")
            )
        )
    ),
    IF(ISERROR(SEARCH("valvola di sicurezza",A424))=FALSE,"IV","")
)</f>
        <v/>
      </c>
    </row>
    <row r="425" spans="1:7" x14ac:dyDescent="0.3">
      <c r="A425" t="s">
        <v>301</v>
      </c>
      <c r="B425" t="s">
        <v>302</v>
      </c>
      <c r="C425" s="2" t="s">
        <v>332</v>
      </c>
      <c r="D425" s="1">
        <v>14500</v>
      </c>
      <c r="E425" s="1">
        <v>14</v>
      </c>
      <c r="F425" s="3">
        <v>70</v>
      </c>
      <c r="G425" s="1" t="str">
        <f>IF(OR(ISERROR(SEARCH("recipiente",A425))=FALSE, ISERROR(SEARCH("serbatoio",A425))=FALSE, ISERROR(SEARCH("scambiatore",A425))=FALSE),
    IF(#REF!*E425&gt;3000,"IV",
        IF(#REF!*E425&gt;1000,"III",
            IF(#REF!*E425&gt;200,"II",
                IF(#REF!*E425&gt;50,"I","")
            )
        )
    ),
    IF(ISERROR(SEARCH("valvola di sicurezza",A425))=FALSE,"IV","")
)</f>
        <v/>
      </c>
    </row>
    <row r="426" spans="1:7" x14ac:dyDescent="0.3">
      <c r="A426" t="s">
        <v>301</v>
      </c>
      <c r="B426" t="s">
        <v>302</v>
      </c>
      <c r="C426" s="2" t="s">
        <v>333</v>
      </c>
      <c r="D426" s="1">
        <v>16000</v>
      </c>
      <c r="E426" s="1">
        <v>14</v>
      </c>
      <c r="F426" s="3">
        <v>70</v>
      </c>
      <c r="G426" s="1" t="str">
        <f>IF(OR(ISERROR(SEARCH("recipiente",A426))=FALSE, ISERROR(SEARCH("serbatoio",A426))=FALSE, ISERROR(SEARCH("scambiatore",A426))=FALSE),
    IF(#REF!*E426&gt;3000,"IV",
        IF(#REF!*E426&gt;1000,"III",
            IF(#REF!*E426&gt;200,"II",
                IF(#REF!*E426&gt;50,"I","")
            )
        )
    ),
    IF(ISERROR(SEARCH("valvola di sicurezza",A426))=FALSE,"IV","")
)</f>
        <v/>
      </c>
    </row>
    <row r="427" spans="1:7" x14ac:dyDescent="0.3">
      <c r="A427" t="s">
        <v>301</v>
      </c>
      <c r="B427" t="s">
        <v>302</v>
      </c>
      <c r="C427" s="2" t="s">
        <v>334</v>
      </c>
      <c r="D427" s="1">
        <v>18000</v>
      </c>
      <c r="E427" s="1">
        <v>14</v>
      </c>
      <c r="F427" s="3">
        <v>70</v>
      </c>
      <c r="G427" s="1" t="str">
        <f>IF(OR(ISERROR(SEARCH("recipiente",A427))=FALSE, ISERROR(SEARCH("serbatoio",A427))=FALSE, ISERROR(SEARCH("scambiatore",A427))=FALSE),
    IF(#REF!*E427&gt;3000,"IV",
        IF(#REF!*E427&gt;1000,"III",
            IF(#REF!*E427&gt;200,"II",
                IF(#REF!*E427&gt;50,"I","")
            )
        )
    ),
    IF(ISERROR(SEARCH("valvola di sicurezza",A427))=FALSE,"IV","")
)</f>
        <v/>
      </c>
    </row>
    <row r="428" spans="1:7" x14ac:dyDescent="0.3">
      <c r="A428" t="s">
        <v>301</v>
      </c>
      <c r="B428" t="s">
        <v>302</v>
      </c>
      <c r="C428" s="2" t="s">
        <v>335</v>
      </c>
      <c r="D428" s="1">
        <v>21000</v>
      </c>
      <c r="E428" s="1">
        <v>14</v>
      </c>
      <c r="F428" s="3">
        <v>70</v>
      </c>
      <c r="G428" s="1" t="str">
        <f>IF(OR(ISERROR(SEARCH("recipiente",A428))=FALSE, ISERROR(SEARCH("serbatoio",A428))=FALSE, ISERROR(SEARCH("scambiatore",A428))=FALSE),
    IF(#REF!*E428&gt;3000,"IV",
        IF(#REF!*E428&gt;1000,"III",
            IF(#REF!*E428&gt;200,"II",
                IF(#REF!*E428&gt;50,"I","")
            )
        )
    ),
    IF(ISERROR(SEARCH("valvola di sicurezza",A428))=FALSE,"IV","")
)</f>
        <v/>
      </c>
    </row>
    <row r="429" spans="1:7" x14ac:dyDescent="0.3">
      <c r="A429" t="s">
        <v>301</v>
      </c>
      <c r="B429" t="s">
        <v>302</v>
      </c>
      <c r="C429" s="2" t="s">
        <v>336</v>
      </c>
      <c r="D429" s="1">
        <v>25000</v>
      </c>
      <c r="E429" s="1">
        <v>14</v>
      </c>
      <c r="F429" s="3">
        <v>70</v>
      </c>
      <c r="G429" s="1" t="str">
        <f>IF(OR(ISERROR(SEARCH("recipiente",A429))=FALSE, ISERROR(SEARCH("serbatoio",A429))=FALSE, ISERROR(SEARCH("scambiatore",A429))=FALSE),
    IF(#REF!*E429&gt;3000,"IV",
        IF(#REF!*E429&gt;1000,"III",
            IF(#REF!*E429&gt;200,"II",
                IF(#REF!*E429&gt;50,"I","")
            )
        )
    ),
    IF(ISERROR(SEARCH("valvola di sicurezza",A429))=FALSE,"IV","")
)</f>
        <v/>
      </c>
    </row>
    <row r="430" spans="1:7" x14ac:dyDescent="0.3">
      <c r="A430" t="s">
        <v>301</v>
      </c>
      <c r="B430" t="s">
        <v>302</v>
      </c>
      <c r="C430" s="2" t="s">
        <v>337</v>
      </c>
      <c r="D430" s="1">
        <v>30000</v>
      </c>
      <c r="E430" s="1">
        <v>14</v>
      </c>
      <c r="F430" s="3">
        <v>70</v>
      </c>
      <c r="G430" s="1" t="str">
        <f>IF(OR(ISERROR(SEARCH("recipiente",A430))=FALSE, ISERROR(SEARCH("serbatoio",A430))=FALSE, ISERROR(SEARCH("scambiatore",A430))=FALSE),
    IF(#REF!*E430&gt;3000,"IV",
        IF(#REF!*E430&gt;1000,"III",
            IF(#REF!*E430&gt;200,"II",
                IF(#REF!*E430&gt;50,"I","")
            )
        )
    ),
    IF(ISERROR(SEARCH("valvola di sicurezza",A430))=FALSE,"IV","")
)</f>
        <v/>
      </c>
    </row>
    <row r="431" spans="1:7" x14ac:dyDescent="0.3">
      <c r="A431" t="s">
        <v>301</v>
      </c>
      <c r="B431" t="s">
        <v>302</v>
      </c>
      <c r="C431" s="2" t="s">
        <v>338</v>
      </c>
      <c r="D431" s="1">
        <v>36800</v>
      </c>
      <c r="E431" s="1">
        <v>14</v>
      </c>
      <c r="F431" s="3">
        <v>70</v>
      </c>
      <c r="G431" s="1" t="str">
        <f>IF(OR(ISERROR(SEARCH("recipiente",A431))=FALSE, ISERROR(SEARCH("serbatoio",A431))=FALSE, ISERROR(SEARCH("scambiatore",A431))=FALSE),
    IF(#REF!*E431&gt;3000,"IV",
        IF(#REF!*E431&gt;1000,"III",
            IF(#REF!*E431&gt;200,"II",
                IF(#REF!*E431&gt;50,"I","")
            )
        )
    ),
    IF(ISERROR(SEARCH("valvola di sicurezza",A431))=FALSE,"IV","")
)</f>
        <v/>
      </c>
    </row>
    <row r="432" spans="1:7" x14ac:dyDescent="0.3">
      <c r="A432" t="s">
        <v>301</v>
      </c>
      <c r="B432" t="s">
        <v>302</v>
      </c>
      <c r="C432" s="2" t="s">
        <v>339</v>
      </c>
      <c r="D432" s="1">
        <v>40000</v>
      </c>
      <c r="E432" s="1">
        <v>14</v>
      </c>
      <c r="F432" s="3">
        <v>70</v>
      </c>
      <c r="G432" s="1" t="str">
        <f>IF(OR(ISERROR(SEARCH("recipiente",A432))=FALSE, ISERROR(SEARCH("serbatoio",A432))=FALSE, ISERROR(SEARCH("scambiatore",A432))=FALSE),
    IF(#REF!*E432&gt;3000,"IV",
        IF(#REF!*E432&gt;1000,"III",
            IF(#REF!*E432&gt;200,"II",
                IF(#REF!*E432&gt;50,"I","")
            )
        )
    ),
    IF(ISERROR(SEARCH("valvola di sicurezza",A432))=FALSE,"IV","")
)</f>
        <v/>
      </c>
    </row>
    <row r="433" spans="1:7" x14ac:dyDescent="0.3">
      <c r="A433" t="s">
        <v>301</v>
      </c>
      <c r="B433" t="s">
        <v>302</v>
      </c>
      <c r="C433" s="2" t="s">
        <v>340</v>
      </c>
      <c r="D433" s="1">
        <v>50000</v>
      </c>
      <c r="E433" s="1">
        <v>14</v>
      </c>
      <c r="F433" s="3">
        <v>70</v>
      </c>
      <c r="G433" s="1" t="str">
        <f>IF(OR(ISERROR(SEARCH("recipiente",A433))=FALSE, ISERROR(SEARCH("serbatoio",A433))=FALSE, ISERROR(SEARCH("scambiatore",A433))=FALSE),
    IF(#REF!*E433&gt;3000,"IV",
        IF(#REF!*E433&gt;1000,"III",
            IF(#REF!*E433&gt;200,"II",
                IF(#REF!*E433&gt;50,"I","")
            )
        )
    ),
    IF(ISERROR(SEARCH("valvola di sicurezza",A433))=FALSE,"IV","")
)</f>
        <v/>
      </c>
    </row>
    <row r="434" spans="1:7" x14ac:dyDescent="0.3">
      <c r="A434" t="s">
        <v>301</v>
      </c>
      <c r="B434" t="s">
        <v>302</v>
      </c>
      <c r="C434" s="2" t="s">
        <v>341</v>
      </c>
      <c r="D434" s="1">
        <v>60000</v>
      </c>
      <c r="E434" s="1">
        <v>14</v>
      </c>
      <c r="F434" s="3">
        <v>70</v>
      </c>
      <c r="G434" s="1" t="str">
        <f>IF(OR(ISERROR(SEARCH("recipiente",A434))=FALSE, ISERROR(SEARCH("serbatoio",A434))=FALSE, ISERROR(SEARCH("scambiatore",A434))=FALSE),
    IF(#REF!*E434&gt;3000,"IV",
        IF(#REF!*E434&gt;1000,"III",
            IF(#REF!*E434&gt;200,"II",
                IF(#REF!*E434&gt;50,"I","")
            )
        )
    ),
    IF(ISERROR(SEARCH("valvola di sicurezza",A434))=FALSE,"IV","")
)</f>
        <v/>
      </c>
    </row>
    <row r="435" spans="1:7" x14ac:dyDescent="0.3">
      <c r="A435" t="s">
        <v>301</v>
      </c>
      <c r="B435" t="s">
        <v>302</v>
      </c>
      <c r="C435" s="2" t="s">
        <v>342</v>
      </c>
      <c r="D435" s="1">
        <v>73600</v>
      </c>
      <c r="E435" s="1">
        <v>14</v>
      </c>
      <c r="F435" s="3">
        <v>70</v>
      </c>
      <c r="G435" s="1" t="str">
        <f>IF(OR(ISERROR(SEARCH("recipiente",A435))=FALSE, ISERROR(SEARCH("serbatoio",A435))=FALSE, ISERROR(SEARCH("scambiatore",A435))=FALSE),
    IF(#REF!*E435&gt;3000,"IV",
        IF(#REF!*E435&gt;1000,"III",
            IF(#REF!*E435&gt;200,"II",
                IF(#REF!*E435&gt;50,"I","")
            )
        )
    ),
    IF(ISERROR(SEARCH("valvola di sicurezza",A435))=FALSE,"IV","")
)</f>
        <v/>
      </c>
    </row>
    <row r="436" spans="1:7" x14ac:dyDescent="0.3">
      <c r="A436" t="s">
        <v>301</v>
      </c>
      <c r="B436" t="s">
        <v>302</v>
      </c>
      <c r="C436" s="2" t="s">
        <v>343</v>
      </c>
      <c r="D436" s="1">
        <v>90000</v>
      </c>
      <c r="E436" s="1">
        <v>14</v>
      </c>
      <c r="F436" s="3">
        <v>70</v>
      </c>
      <c r="G436" s="1" t="str">
        <f>IF(OR(ISERROR(SEARCH("recipiente",A436))=FALSE, ISERROR(SEARCH("serbatoio",A436))=FALSE, ISERROR(SEARCH("scambiatore",A436))=FALSE),
    IF(#REF!*E436&gt;3000,"IV",
        IF(#REF!*E436&gt;1000,"III",
            IF(#REF!*E436&gt;200,"II",
                IF(#REF!*E436&gt;50,"I","")
            )
        )
    ),
    IF(ISERROR(SEARCH("valvola di sicurezza",A436))=FALSE,"IV","")
)</f>
        <v/>
      </c>
    </row>
    <row r="437" spans="1:7" x14ac:dyDescent="0.3">
      <c r="A437" t="s">
        <v>301</v>
      </c>
      <c r="B437" t="s">
        <v>302</v>
      </c>
      <c r="C437" s="2" t="s">
        <v>344</v>
      </c>
      <c r="D437" s="1">
        <v>110400</v>
      </c>
      <c r="E437" s="1">
        <v>14</v>
      </c>
      <c r="F437" s="3">
        <v>70</v>
      </c>
      <c r="G437" s="1" t="str">
        <f>IF(OR(ISERROR(SEARCH("recipiente",A437))=FALSE, ISERROR(SEARCH("serbatoio",A437))=FALSE, ISERROR(SEARCH("scambiatore",A437))=FALSE),
    IF(#REF!*E437&gt;3000,"IV",
        IF(#REF!*E437&gt;1000,"III",
            IF(#REF!*E437&gt;200,"II",
                IF(#REF!*E437&gt;50,"I","")
            )
        )
    ),
    IF(ISERROR(SEARCH("valvola di sicurezza",A437))=FALSE,"IV","")
)</f>
        <v/>
      </c>
    </row>
    <row r="438" spans="1:7" x14ac:dyDescent="0.3">
      <c r="A438" t="s">
        <v>301</v>
      </c>
      <c r="B438" t="s">
        <v>302</v>
      </c>
      <c r="C438" s="2" t="s">
        <v>345</v>
      </c>
      <c r="D438" s="1">
        <v>120000</v>
      </c>
      <c r="E438" s="1">
        <v>14</v>
      </c>
      <c r="F438" s="3">
        <v>70</v>
      </c>
      <c r="G438" s="1" t="str">
        <f>IF(OR(ISERROR(SEARCH("recipiente",A438))=FALSE, ISERROR(SEARCH("serbatoio",A438))=FALSE, ISERROR(SEARCH("scambiatore",A438))=FALSE),
    IF(#REF!*E438&gt;3000,"IV",
        IF(#REF!*E438&gt;1000,"III",
            IF(#REF!*E438&gt;200,"II",
                IF(#REF!*E438&gt;50,"I","")
            )
        )
    ),
    IF(ISERROR(SEARCH("valvola di sicurezza",A438))=FALSE,"IV","")
)</f>
        <v/>
      </c>
    </row>
    <row r="439" spans="1:7" x14ac:dyDescent="0.3">
      <c r="A439" t="s">
        <v>301</v>
      </c>
      <c r="B439" t="s">
        <v>302</v>
      </c>
      <c r="C439" s="2" t="s">
        <v>346</v>
      </c>
      <c r="D439" s="1">
        <v>147200</v>
      </c>
      <c r="E439" s="1">
        <v>14</v>
      </c>
      <c r="F439" s="3">
        <v>70</v>
      </c>
      <c r="G439" s="1" t="str">
        <f>IF(OR(ISERROR(SEARCH("recipiente",A439))=FALSE, ISERROR(SEARCH("serbatoio",A439))=FALSE, ISERROR(SEARCH("scambiatore",A439))=FALSE),
    IF(#REF!*E439&gt;3000,"IV",
        IF(#REF!*E439&gt;1000,"III",
            IF(#REF!*E439&gt;200,"II",
                IF(#REF!*E439&gt;50,"I","")
            )
        )
    ),
    IF(ISERROR(SEARCH("valvola di sicurezza",A439))=FALSE,"IV","")
)</f>
        <v/>
      </c>
    </row>
    <row r="440" spans="1:7" x14ac:dyDescent="0.3">
      <c r="A440" t="s">
        <v>301</v>
      </c>
      <c r="B440" t="s">
        <v>302</v>
      </c>
      <c r="C440" s="2" t="s">
        <v>347</v>
      </c>
      <c r="D440" s="1">
        <v>180000</v>
      </c>
      <c r="E440" s="1">
        <v>14</v>
      </c>
      <c r="F440" s="3">
        <v>70</v>
      </c>
      <c r="G440" s="1" t="str">
        <f>IF(OR(ISERROR(SEARCH("recipiente",A440))=FALSE, ISERROR(SEARCH("serbatoio",A440))=FALSE, ISERROR(SEARCH("scambiatore",A440))=FALSE),
    IF(#REF!*E440&gt;3000,"IV",
        IF(#REF!*E440&gt;1000,"III",
            IF(#REF!*E440&gt;200,"II",
                IF(#REF!*E440&gt;50,"I","")
            )
        )
    ),
    IF(ISERROR(SEARCH("valvola di sicurezza",A440))=FALSE,"IV","")
)</f>
        <v/>
      </c>
    </row>
    <row r="441" spans="1:7" x14ac:dyDescent="0.3">
      <c r="A441" t="s">
        <v>301</v>
      </c>
      <c r="B441" t="s">
        <v>302</v>
      </c>
      <c r="C441" s="2" t="s">
        <v>348</v>
      </c>
      <c r="D441" s="1">
        <v>220000</v>
      </c>
      <c r="E441" s="1">
        <v>14</v>
      </c>
      <c r="F441" s="3">
        <v>70</v>
      </c>
      <c r="G441" s="1" t="str">
        <f>IF(OR(ISERROR(SEARCH("recipiente",A441))=FALSE, ISERROR(SEARCH("serbatoio",A441))=FALSE, ISERROR(SEARCH("scambiatore",A441))=FALSE),
    IF(#REF!*E441&gt;3000,"IV",
        IF(#REF!*E441&gt;1000,"III",
            IF(#REF!*E441&gt;200,"II",
                IF(#REF!*E441&gt;50,"I","")
            )
        )
    ),
    IF(ISERROR(SEARCH("valvola di sicurezza",A441))=FALSE,"IV","")
)</f>
        <v/>
      </c>
    </row>
    <row r="442" spans="1:7" x14ac:dyDescent="0.3">
      <c r="A442" t="s">
        <v>301</v>
      </c>
      <c r="B442" t="s">
        <v>302</v>
      </c>
      <c r="C442" s="2" t="s">
        <v>349</v>
      </c>
      <c r="D442" s="1">
        <v>240000</v>
      </c>
      <c r="E442" s="1">
        <v>14</v>
      </c>
      <c r="F442" s="3">
        <v>70</v>
      </c>
      <c r="G442" s="1" t="str">
        <f>IF(OR(ISERROR(SEARCH("recipiente",A442))=FALSE, ISERROR(SEARCH("serbatoio",A442))=FALSE, ISERROR(SEARCH("scambiatore",A442))=FALSE),
    IF(#REF!*E442&gt;3000,"IV",
        IF(#REF!*E442&gt;1000,"III",
            IF(#REF!*E442&gt;200,"II",
                IF(#REF!*E442&gt;50,"I","")
            )
        )
    ),
    IF(ISERROR(SEARCH("valvola di sicurezza",A442))=FALSE,"IV","")
)</f>
        <v/>
      </c>
    </row>
    <row r="443" spans="1:7" x14ac:dyDescent="0.3">
      <c r="A443" t="s">
        <v>301</v>
      </c>
      <c r="B443" t="s">
        <v>302</v>
      </c>
      <c r="C443" s="2" t="s">
        <v>350</v>
      </c>
      <c r="D443" s="1">
        <v>300000</v>
      </c>
      <c r="E443" s="1">
        <v>14</v>
      </c>
      <c r="F443" s="3">
        <v>70</v>
      </c>
      <c r="G443" s="1" t="str">
        <f>IF(OR(ISERROR(SEARCH("recipiente",A443))=FALSE, ISERROR(SEARCH("serbatoio",A443))=FALSE, ISERROR(SEARCH("scambiatore",A443))=FALSE),
    IF(#REF!*E443&gt;3000,"IV",
        IF(#REF!*E443&gt;1000,"III",
            IF(#REF!*E443&gt;200,"II",
                IF(#REF!*E443&gt;50,"I","")
            )
        )
    ),
    IF(ISERROR(SEARCH("valvola di sicurezza",A443))=FALSE,"IV","")
)</f>
        <v/>
      </c>
    </row>
    <row r="444" spans="1:7" x14ac:dyDescent="0.3">
      <c r="A444" t="s">
        <v>301</v>
      </c>
      <c r="B444" t="s">
        <v>302</v>
      </c>
      <c r="C444" s="2" t="s">
        <v>351</v>
      </c>
      <c r="D444" s="1">
        <v>417</v>
      </c>
      <c r="E444" s="1">
        <v>50</v>
      </c>
      <c r="F444" s="3"/>
      <c r="G444" s="1" t="str">
        <f>IF(OR(ISERROR(SEARCH("recipiente",A444))=FALSE, ISERROR(SEARCH("serbatoio",A444))=FALSE, ISERROR(SEARCH("scambiatore",A444))=FALSE),
    IF(#REF!*E444&gt;3000,"IV",
        IF(#REF!*E444&gt;1000,"III",
            IF(#REF!*E444&gt;200,"II",
                IF(#REF!*E444&gt;50,"I","")
            )
        )
    ),
    IF(ISERROR(SEARCH("valvola di sicurezza",A444))=FALSE,"IV","")
)</f>
        <v/>
      </c>
    </row>
    <row r="445" spans="1:7" x14ac:dyDescent="0.3">
      <c r="A445" t="s">
        <v>301</v>
      </c>
      <c r="B445" t="s">
        <v>302</v>
      </c>
      <c r="C445" s="2" t="s">
        <v>352</v>
      </c>
      <c r="D445" s="1">
        <v>800</v>
      </c>
      <c r="E445" s="1">
        <v>50</v>
      </c>
      <c r="F445" s="3"/>
      <c r="G445" s="1" t="str">
        <f>IF(OR(ISERROR(SEARCH("recipiente",A445))=FALSE, ISERROR(SEARCH("serbatoio",A445))=FALSE, ISERROR(SEARCH("scambiatore",A445))=FALSE),
    IF(#REF!*E445&gt;3000,"IV",
        IF(#REF!*E445&gt;1000,"III",
            IF(#REF!*E445&gt;200,"II",
                IF(#REF!*E445&gt;50,"I","")
            )
        )
    ),
    IF(ISERROR(SEARCH("valvola di sicurezza",A445))=FALSE,"IV","")
)</f>
        <v/>
      </c>
    </row>
    <row r="446" spans="1:7" x14ac:dyDescent="0.3">
      <c r="A446" t="s">
        <v>301</v>
      </c>
      <c r="B446" t="s">
        <v>302</v>
      </c>
      <c r="C446" s="2" t="s">
        <v>353</v>
      </c>
      <c r="D446" s="1">
        <v>1200</v>
      </c>
      <c r="E446" s="1">
        <v>50</v>
      </c>
      <c r="F446" s="3"/>
      <c r="G446" s="1" t="str">
        <f>IF(OR(ISERROR(SEARCH("recipiente",A446))=FALSE, ISERROR(SEARCH("serbatoio",A446))=FALSE, ISERROR(SEARCH("scambiatore",A446))=FALSE),
    IF(#REF!*E446&gt;3000,"IV",
        IF(#REF!*E446&gt;1000,"III",
            IF(#REF!*E446&gt;200,"II",
                IF(#REF!*E446&gt;50,"I","")
            )
        )
    ),
    IF(ISERROR(SEARCH("valvola di sicurezza",A446))=FALSE,"IV","")
)</f>
        <v/>
      </c>
    </row>
    <row r="447" spans="1:7" x14ac:dyDescent="0.3">
      <c r="A447" t="s">
        <v>301</v>
      </c>
      <c r="B447" t="s">
        <v>302</v>
      </c>
      <c r="C447" s="2" t="s">
        <v>354</v>
      </c>
      <c r="D447" s="1">
        <v>1500</v>
      </c>
      <c r="E447" s="1">
        <v>50</v>
      </c>
      <c r="F447" s="3"/>
      <c r="G447" s="1" t="str">
        <f>IF(OR(ISERROR(SEARCH("recipiente",A447))=FALSE, ISERROR(SEARCH("serbatoio",A447))=FALSE, ISERROR(SEARCH("scambiatore",A447))=FALSE),
    IF(#REF!*E447&gt;3000,"IV",
        IF(#REF!*E447&gt;1000,"III",
            IF(#REF!*E447&gt;200,"II",
                IF(#REF!*E447&gt;50,"I","")
            )
        )
    ),
    IF(ISERROR(SEARCH("valvola di sicurezza",A447))=FALSE,"IV","")
)</f>
        <v/>
      </c>
    </row>
    <row r="448" spans="1:7" x14ac:dyDescent="0.3">
      <c r="A448" t="s">
        <v>301</v>
      </c>
      <c r="B448" t="s">
        <v>302</v>
      </c>
      <c r="C448" s="2" t="s">
        <v>355</v>
      </c>
      <c r="D448" s="1">
        <v>2250</v>
      </c>
      <c r="E448" s="1">
        <v>50</v>
      </c>
      <c r="F448" s="3"/>
      <c r="G448" s="1" t="str">
        <f>IF(OR(ISERROR(SEARCH("recipiente",A448))=FALSE, ISERROR(SEARCH("serbatoio",A448))=FALSE, ISERROR(SEARCH("scambiatore",A448))=FALSE),
    IF(#REF!*E448&gt;3000,"IV",
        IF(#REF!*E448&gt;1000,"III",
            IF(#REF!*E448&gt;200,"II",
                IF(#REF!*E448&gt;50,"I","")
            )
        )
    ),
    IF(ISERROR(SEARCH("valvola di sicurezza",A448))=FALSE,"IV","")
)</f>
        <v/>
      </c>
    </row>
    <row r="449" spans="1:7" x14ac:dyDescent="0.3">
      <c r="A449" t="s">
        <v>301</v>
      </c>
      <c r="B449" t="s">
        <v>302</v>
      </c>
      <c r="C449" s="2" t="s">
        <v>356</v>
      </c>
      <c r="D449" s="1">
        <v>3000</v>
      </c>
      <c r="E449" s="1">
        <v>50</v>
      </c>
      <c r="F449" s="3"/>
      <c r="G449" s="1" t="str">
        <f>IF(OR(ISERROR(SEARCH("recipiente",A449))=FALSE, ISERROR(SEARCH("serbatoio",A449))=FALSE, ISERROR(SEARCH("scambiatore",A449))=FALSE),
    IF(#REF!*E449&gt;3000,"IV",
        IF(#REF!*E449&gt;1000,"III",
            IF(#REF!*E449&gt;200,"II",
                IF(#REF!*E449&gt;50,"I","")
            )
        )
    ),
    IF(ISERROR(SEARCH("valvola di sicurezza",A449))=FALSE,"IV","")
)</f>
        <v/>
      </c>
    </row>
    <row r="450" spans="1:7" x14ac:dyDescent="0.3">
      <c r="A450" t="s">
        <v>301</v>
      </c>
      <c r="B450" t="s">
        <v>302</v>
      </c>
      <c r="C450" s="2" t="s">
        <v>357</v>
      </c>
      <c r="D450" s="1">
        <v>4000</v>
      </c>
      <c r="E450" s="1">
        <v>50</v>
      </c>
      <c r="F450" s="3"/>
      <c r="G450" s="1" t="str">
        <f>IF(OR(ISERROR(SEARCH("recipiente",A450))=FALSE, ISERROR(SEARCH("serbatoio",A450))=FALSE, ISERROR(SEARCH("scambiatore",A450))=FALSE),
    IF(#REF!*E450&gt;3000,"IV",
        IF(#REF!*E450&gt;1000,"III",
            IF(#REF!*E450&gt;200,"II",
                IF(#REF!*E450&gt;50,"I","")
            )
        )
    ),
    IF(ISERROR(SEARCH("valvola di sicurezza",A450))=FALSE,"IV","")
)</f>
        <v/>
      </c>
    </row>
    <row r="451" spans="1:7" x14ac:dyDescent="0.3">
      <c r="A451" t="s">
        <v>301</v>
      </c>
      <c r="B451" t="s">
        <v>302</v>
      </c>
      <c r="C451" s="2" t="s">
        <v>358</v>
      </c>
      <c r="D451" s="1">
        <v>5250</v>
      </c>
      <c r="E451" s="1">
        <v>50</v>
      </c>
      <c r="F451" s="3"/>
      <c r="G451" s="1" t="str">
        <f>IF(OR(ISERROR(SEARCH("recipiente",A451))=FALSE, ISERROR(SEARCH("serbatoio",A451))=FALSE, ISERROR(SEARCH("scambiatore",A451))=FALSE),
    IF(#REF!*E451&gt;3000,"IV",
        IF(#REF!*E451&gt;1000,"III",
            IF(#REF!*E451&gt;200,"II",
                IF(#REF!*E451&gt;50,"I","")
            )
        )
    ),
    IF(ISERROR(SEARCH("valvola di sicurezza",A451))=FALSE,"IV","")
)</f>
        <v/>
      </c>
    </row>
    <row r="452" spans="1:7" x14ac:dyDescent="0.3">
      <c r="A452" t="s">
        <v>301</v>
      </c>
      <c r="B452" t="s">
        <v>302</v>
      </c>
      <c r="C452" s="2" t="s">
        <v>359</v>
      </c>
      <c r="D452" s="1">
        <v>7500</v>
      </c>
      <c r="E452" s="1">
        <v>50</v>
      </c>
      <c r="F452" s="3"/>
      <c r="G452" s="1" t="str">
        <f>IF(OR(ISERROR(SEARCH("recipiente",A452))=FALSE, ISERROR(SEARCH("serbatoio",A452))=FALSE, ISERROR(SEARCH("scambiatore",A452))=FALSE),
    IF(#REF!*E452&gt;3000,"IV",
        IF(#REF!*E452&gt;1000,"III",
            IF(#REF!*E452&gt;200,"II",
                IF(#REF!*E452&gt;50,"I","")
            )
        )
    ),
    IF(ISERROR(SEARCH("valvola di sicurezza",A452))=FALSE,"IV","")
)</f>
        <v/>
      </c>
    </row>
    <row r="453" spans="1:7" x14ac:dyDescent="0.3">
      <c r="A453" t="s">
        <v>301</v>
      </c>
      <c r="B453" t="s">
        <v>302</v>
      </c>
      <c r="C453" s="2" t="s">
        <v>360</v>
      </c>
      <c r="D453" s="1">
        <v>10250</v>
      </c>
      <c r="E453" s="1">
        <v>50</v>
      </c>
      <c r="F453" s="3"/>
      <c r="G453" s="1" t="str">
        <f>IF(OR(ISERROR(SEARCH("recipiente",A453))=FALSE, ISERROR(SEARCH("serbatoio",A453))=FALSE, ISERROR(SEARCH("scambiatore",A453))=FALSE),
    IF(#REF!*E453&gt;3000,"IV",
        IF(#REF!*E453&gt;1000,"III",
            IF(#REF!*E453&gt;200,"II",
                IF(#REF!*E453&gt;50,"I","")
            )
        )
    ),
    IF(ISERROR(SEARCH("valvola di sicurezza",A453))=FALSE,"IV","")
)</f>
        <v/>
      </c>
    </row>
    <row r="454" spans="1:7" x14ac:dyDescent="0.3">
      <c r="A454" t="s">
        <v>301</v>
      </c>
      <c r="B454" t="s">
        <v>302</v>
      </c>
      <c r="C454" s="2" t="s">
        <v>361</v>
      </c>
      <c r="D454" s="1">
        <v>13500</v>
      </c>
      <c r="E454" s="1">
        <v>50</v>
      </c>
      <c r="F454" s="3"/>
      <c r="G454" s="1" t="str">
        <f>IF(OR(ISERROR(SEARCH("recipiente",A454))=FALSE, ISERROR(SEARCH("serbatoio",A454))=FALSE, ISERROR(SEARCH("scambiatore",A454))=FALSE),
    IF(#REF!*E454&gt;3000,"IV",
        IF(#REF!*E454&gt;1000,"III",
            IF(#REF!*E454&gt;200,"II",
                IF(#REF!*E454&gt;50,"I","")
            )
        )
    ),
    IF(ISERROR(SEARCH("valvola di sicurezza",A454))=FALSE,"IV","")
)</f>
        <v/>
      </c>
    </row>
    <row r="455" spans="1:7" x14ac:dyDescent="0.3">
      <c r="A455" t="s">
        <v>301</v>
      </c>
      <c r="B455" t="s">
        <v>302</v>
      </c>
      <c r="C455" s="2" t="s">
        <v>362</v>
      </c>
      <c r="D455" s="1">
        <v>16800</v>
      </c>
      <c r="E455" s="1">
        <v>50</v>
      </c>
      <c r="F455" s="3"/>
      <c r="G455" s="1" t="str">
        <f>IF(OR(ISERROR(SEARCH("recipiente",A455))=FALSE, ISERROR(SEARCH("serbatoio",A455))=FALSE, ISERROR(SEARCH("scambiatore",A455))=FALSE),
    IF(#REF!*E455&gt;3000,"IV",
        IF(#REF!*E455&gt;1000,"III",
            IF(#REF!*E455&gt;200,"II",
                IF(#REF!*E455&gt;50,"I","")
            )
        )
    ),
    IF(ISERROR(SEARCH("valvola di sicurezza",A455))=FALSE,"IV","")
)</f>
        <v/>
      </c>
    </row>
    <row r="456" spans="1:7" x14ac:dyDescent="0.3">
      <c r="A456" t="s">
        <v>301</v>
      </c>
      <c r="B456" t="s">
        <v>302</v>
      </c>
      <c r="C456" s="2" t="s">
        <v>363</v>
      </c>
      <c r="D456" s="1">
        <v>21000</v>
      </c>
      <c r="E456" s="1">
        <v>45</v>
      </c>
      <c r="F456" s="3"/>
      <c r="G456" s="1" t="str">
        <f>IF(OR(ISERROR(SEARCH("recipiente",A456))=FALSE, ISERROR(SEARCH("serbatoio",A456))=FALSE, ISERROR(SEARCH("scambiatore",A456))=FALSE),
    IF(#REF!*E456&gt;3000,"IV",
        IF(#REF!*E456&gt;1000,"III",
            IF(#REF!*E456&gt;200,"II",
                IF(#REF!*E456&gt;50,"I","")
            )
        )
    ),
    IF(ISERROR(SEARCH("valvola di sicurezza",A456))=FALSE,"IV","")
)</f>
        <v/>
      </c>
    </row>
    <row r="457" spans="1:7" x14ac:dyDescent="0.3">
      <c r="A457" t="s">
        <v>301</v>
      </c>
      <c r="B457" t="s">
        <v>302</v>
      </c>
      <c r="C457" s="2" t="s">
        <v>364</v>
      </c>
      <c r="D457" s="1">
        <v>27000</v>
      </c>
      <c r="E457" s="1">
        <v>45</v>
      </c>
      <c r="F457" s="3"/>
      <c r="G457" s="1" t="str">
        <f>IF(OR(ISERROR(SEARCH("recipiente",A457))=FALSE, ISERROR(SEARCH("serbatoio",A457))=FALSE, ISERROR(SEARCH("scambiatore",A457))=FALSE),
    IF(#REF!*E457&gt;3000,"IV",
        IF(#REF!*E457&gt;1000,"III",
            IF(#REF!*E457&gt;200,"II",
                IF(#REF!*E457&gt;50,"I","")
            )
        )
    ),
    IF(ISERROR(SEARCH("valvola di sicurezza",A457))=FALSE,"IV","")
)</f>
        <v/>
      </c>
    </row>
    <row r="458" spans="1:7" x14ac:dyDescent="0.3">
      <c r="A458" t="s">
        <v>301</v>
      </c>
      <c r="B458" t="s">
        <v>302</v>
      </c>
      <c r="C458" s="2" t="s">
        <v>365</v>
      </c>
      <c r="D458" s="1">
        <v>38000</v>
      </c>
      <c r="E458" s="1">
        <v>45</v>
      </c>
      <c r="F458" s="3"/>
      <c r="G458" s="1" t="str">
        <f>IF(OR(ISERROR(SEARCH("recipiente",A458))=FALSE, ISERROR(SEARCH("serbatoio",A458))=FALSE, ISERROR(SEARCH("scambiatore",A458))=FALSE),
    IF(#REF!*E458&gt;3000,"IV",
        IF(#REF!*E458&gt;1000,"III",
            IF(#REF!*E458&gt;200,"II",
                IF(#REF!*E458&gt;50,"I","")
            )
        )
    ),
    IF(ISERROR(SEARCH("valvola di sicurezza",A458))=FALSE,"IV","")
)</f>
        <v/>
      </c>
    </row>
    <row r="459" spans="1:7" x14ac:dyDescent="0.3">
      <c r="A459" t="s">
        <v>301</v>
      </c>
      <c r="B459" t="s">
        <v>302</v>
      </c>
      <c r="C459" s="2" t="s">
        <v>366</v>
      </c>
      <c r="D459" s="1">
        <v>40500</v>
      </c>
      <c r="E459" s="1">
        <v>45</v>
      </c>
      <c r="F459" s="3"/>
      <c r="G459" s="1" t="str">
        <f>IF(OR(ISERROR(SEARCH("recipiente",A459))=FALSE, ISERROR(SEARCH("serbatoio",A459))=FALSE, ISERROR(SEARCH("scambiatore",A459))=FALSE),
    IF(#REF!*E459&gt;3000,"IV",
        IF(#REF!*E459&gt;1000,"III",
            IF(#REF!*E459&gt;200,"II",
                IF(#REF!*E459&gt;50,"I","")
            )
        )
    ),
    IF(ISERROR(SEARCH("valvola di sicurezza",A459))=FALSE,"IV","")
)</f>
        <v/>
      </c>
    </row>
    <row r="460" spans="1:7" x14ac:dyDescent="0.3">
      <c r="A460" t="s">
        <v>301</v>
      </c>
      <c r="B460" t="s">
        <v>302</v>
      </c>
      <c r="C460" s="2" t="s">
        <v>367</v>
      </c>
      <c r="D460" s="1">
        <v>50500</v>
      </c>
      <c r="E460" s="1">
        <v>45</v>
      </c>
      <c r="F460" s="3"/>
      <c r="G460" s="1" t="str">
        <f>IF(OR(ISERROR(SEARCH("recipiente",A460))=FALSE, ISERROR(SEARCH("serbatoio",A460))=FALSE, ISERROR(SEARCH("scambiatore",A460))=FALSE),
    IF(#REF!*E460&gt;3000,"IV",
        IF(#REF!*E460&gt;1000,"III",
            IF(#REF!*E460&gt;200,"II",
                IF(#REF!*E460&gt;50,"I","")
            )
        )
    ),
    IF(ISERROR(SEARCH("valvola di sicurezza",A460))=FALSE,"IV","")
)</f>
        <v/>
      </c>
    </row>
    <row r="461" spans="1:7" x14ac:dyDescent="0.3">
      <c r="A461" t="s">
        <v>301</v>
      </c>
      <c r="B461" t="s">
        <v>302</v>
      </c>
      <c r="C461" s="2" t="s">
        <v>368</v>
      </c>
      <c r="D461" s="1">
        <v>67000</v>
      </c>
      <c r="E461" s="1">
        <v>45</v>
      </c>
      <c r="F461" s="3"/>
      <c r="G461" s="1" t="str">
        <f>IF(OR(ISERROR(SEARCH("recipiente",A461))=FALSE, ISERROR(SEARCH("serbatoio",A461))=FALSE, ISERROR(SEARCH("scambiatore",A461))=FALSE),
    IF(#REF!*E461&gt;3000,"IV",
        IF(#REF!*E461&gt;1000,"III",
            IF(#REF!*E461&gt;200,"II",
                IF(#REF!*E461&gt;50,"I","")
            )
        )
    ),
    IF(ISERROR(SEARCH("valvola di sicurezza",A461))=FALSE,"IV","")
)</f>
        <v/>
      </c>
    </row>
    <row r="462" spans="1:7" x14ac:dyDescent="0.3">
      <c r="A462" t="s">
        <v>301</v>
      </c>
      <c r="B462" t="s">
        <v>302</v>
      </c>
      <c r="C462" s="2" t="s">
        <v>369</v>
      </c>
      <c r="D462" s="1">
        <v>83500</v>
      </c>
      <c r="E462" s="1">
        <v>45</v>
      </c>
      <c r="F462" s="3"/>
      <c r="G462" s="1" t="str">
        <f>IF(OR(ISERROR(SEARCH("recipiente",A462))=FALSE, ISERROR(SEARCH("serbatoio",A462))=FALSE, ISERROR(SEARCH("scambiatore",A462))=FALSE),
    IF(#REF!*E462&gt;3000,"IV",
        IF(#REF!*E462&gt;1000,"III",
            IF(#REF!*E462&gt;200,"II",
                IF(#REF!*E462&gt;50,"I","")
            )
        )
    ),
    IF(ISERROR(SEARCH("valvola di sicurezza",A462))=FALSE,"IV","")
)</f>
        <v/>
      </c>
    </row>
    <row r="463" spans="1:7" x14ac:dyDescent="0.3">
      <c r="A463" t="s">
        <v>301</v>
      </c>
      <c r="B463" t="s">
        <v>302</v>
      </c>
      <c r="C463" s="2" t="s">
        <v>370</v>
      </c>
      <c r="D463" s="1">
        <v>101000</v>
      </c>
      <c r="E463" s="1">
        <v>45</v>
      </c>
      <c r="F463" s="3"/>
      <c r="G463" s="1" t="str">
        <f>IF(OR(ISERROR(SEARCH("recipiente",A463))=FALSE, ISERROR(SEARCH("serbatoio",A463))=FALSE, ISERROR(SEARCH("scambiatore",A463))=FALSE),
    IF(#REF!*E463&gt;3000,"IV",
        IF(#REF!*E463&gt;1000,"III",
            IF(#REF!*E463&gt;200,"II",
                IF(#REF!*E463&gt;50,"I","")
            )
        )
    ),
    IF(ISERROR(SEARCH("valvola di sicurezza",A463))=FALSE,"IV","")
)</f>
        <v/>
      </c>
    </row>
    <row r="464" spans="1:7" x14ac:dyDescent="0.3">
      <c r="A464" t="s">
        <v>301</v>
      </c>
      <c r="B464" t="s">
        <v>302</v>
      </c>
      <c r="C464" s="2" t="s">
        <v>371</v>
      </c>
      <c r="D464" s="1">
        <v>950</v>
      </c>
      <c r="E464" s="1">
        <v>16</v>
      </c>
      <c r="F464" s="3">
        <v>55</v>
      </c>
      <c r="G464" s="1" t="str">
        <f>IF(OR(ISERROR(SEARCH("recipiente",A464))=FALSE, ISERROR(SEARCH("serbatoio",A464))=FALSE, ISERROR(SEARCH("scambiatore",A464))=FALSE),
    IF(#REF!*E464&gt;3000,"IV",
        IF(#REF!*E464&gt;1000,"III",
            IF(#REF!*E464&gt;200,"II",
                IF(#REF!*E464&gt;50,"I","")
            )
        )
    ),
    IF(ISERROR(SEARCH("valvola di sicurezza",A464))=FALSE,"IV","")
)</f>
        <v/>
      </c>
    </row>
    <row r="465" spans="1:7" x14ac:dyDescent="0.3">
      <c r="A465" t="s">
        <v>301</v>
      </c>
      <c r="B465" t="s">
        <v>302</v>
      </c>
      <c r="C465" s="2" t="s">
        <v>372</v>
      </c>
      <c r="D465" s="1">
        <v>3200</v>
      </c>
      <c r="E465" s="1">
        <v>16</v>
      </c>
      <c r="F465" s="3">
        <v>55</v>
      </c>
      <c r="G465" s="1" t="str">
        <f>IF(OR(ISERROR(SEARCH("recipiente",A465))=FALSE, ISERROR(SEARCH("serbatoio",A465))=FALSE, ISERROR(SEARCH("scambiatore",A465))=FALSE),
    IF(#REF!*E465&gt;3000,"IV",
        IF(#REF!*E465&gt;1000,"III",
            IF(#REF!*E465&gt;200,"II",
                IF(#REF!*E465&gt;50,"I","")
            )
        )
    ),
    IF(ISERROR(SEARCH("valvola di sicurezza",A465))=FALSE,"IV","")
)</f>
        <v/>
      </c>
    </row>
    <row r="466" spans="1:7" x14ac:dyDescent="0.3">
      <c r="A466" t="s">
        <v>301</v>
      </c>
      <c r="B466" t="s">
        <v>302</v>
      </c>
      <c r="C466" s="2" t="s">
        <v>373</v>
      </c>
      <c r="D466" s="1">
        <v>600</v>
      </c>
      <c r="E466" s="1">
        <v>16</v>
      </c>
      <c r="F466" s="5">
        <v>55</v>
      </c>
      <c r="G466" s="1" t="str">
        <f>IF(OR(ISERROR(SEARCH("recipiente",A466))=FALSE, ISERROR(SEARCH("serbatoio",A466))=FALSE, ISERROR(SEARCH("scambiatore",A466))=FALSE),
    IF(D466*E466&gt;3000,"IV",
        IF(D466*E466&gt;1000,"III",
            IF(D466*E466&gt;200,"II",
                IF(D466*E466&gt;50,"I","")
            )
        )
    ),
    IF(ISERROR(SEARCH("valvola di sicurezza",A466))=FALSE,"IV","")
)</f>
        <v/>
      </c>
    </row>
    <row r="467" spans="1:7" x14ac:dyDescent="0.3">
      <c r="A467" t="s">
        <v>301</v>
      </c>
      <c r="B467" t="s">
        <v>302</v>
      </c>
      <c r="C467" s="2" t="s">
        <v>374</v>
      </c>
      <c r="D467" s="1">
        <v>1800</v>
      </c>
      <c r="E467" s="1">
        <v>16</v>
      </c>
      <c r="F467" s="5">
        <v>55</v>
      </c>
      <c r="G467" s="1" t="str">
        <f>IF(OR(ISERROR(SEARCH("recipiente",A467))=FALSE, ISERROR(SEARCH("serbatoio",A467))=FALSE, ISERROR(SEARCH("scambiatore",A467))=FALSE),
    IF(D467*E467&gt;3000,"IV",
        IF(D467*E467&gt;1000,"III",
            IF(D467*E467&gt;200,"II",
                IF(D467*E467&gt;50,"I","")
            )
        )
    ),
    IF(ISERROR(SEARCH("valvola di sicurezza",A467))=FALSE,"IV","")
)</f>
        <v/>
      </c>
    </row>
    <row r="468" spans="1:7" x14ac:dyDescent="0.3">
      <c r="A468" t="s">
        <v>301</v>
      </c>
      <c r="B468" t="s">
        <v>1009</v>
      </c>
      <c r="C468" s="2" t="s">
        <v>1010</v>
      </c>
      <c r="D468" s="1"/>
      <c r="E468" s="1">
        <v>16</v>
      </c>
      <c r="F468" s="5"/>
      <c r="G468" s="1" t="str">
        <f>IF(OR(ISERROR(SEARCH("recipiente",A468))=FALSE, ISERROR(SEARCH("serbatoio",A468))=FALSE, ISERROR(SEARCH("scambiatore",A468))=FALSE),
    IF(D468*E468&gt;3000,"IV",
        IF(D468*E468&gt;1000,"III",
            IF(D468*E468&gt;200,"II",
                IF(D468*E468&gt;50,"I","")
            )
        )
    ),
    IF(ISERROR(SEARCH("valvola di sicurezza",A468))=FALSE,"IV","")
)</f>
        <v/>
      </c>
    </row>
    <row r="469" spans="1:7" x14ac:dyDescent="0.3">
      <c r="A469" t="s">
        <v>65</v>
      </c>
      <c r="B469" t="s">
        <v>375</v>
      </c>
      <c r="C469" s="2" t="s">
        <v>376</v>
      </c>
      <c r="D469" s="1">
        <v>3140</v>
      </c>
      <c r="E469" s="1">
        <v>11</v>
      </c>
      <c r="F469" s="5"/>
      <c r="G469" s="1" t="str">
        <f>IF(OR(ISERROR(SEARCH("recipiente",A469))=FALSE, ISERROR(SEARCH("serbatoio",A469))=FALSE, ISERROR(SEARCH("scambiatore",A469))=FALSE),
    IF(D469*E469&gt;3000,"IV",
        IF(D469*E469&gt;1000,"III",
            IF(D469*E469&gt;200,"II",
                IF(D469*E469&gt;50,"I","")
            )
        )
    ),
    IF(ISERROR(SEARCH("valvola di sicurezza",A469))=FALSE,"IV","")
)</f>
        <v/>
      </c>
    </row>
    <row r="470" spans="1:7" x14ac:dyDescent="0.3">
      <c r="A470" t="s">
        <v>65</v>
      </c>
      <c r="B470" t="s">
        <v>375</v>
      </c>
      <c r="C470" s="2" t="s">
        <v>376</v>
      </c>
      <c r="D470" s="1">
        <v>3680</v>
      </c>
      <c r="E470" s="1">
        <v>10</v>
      </c>
      <c r="F470" s="5"/>
      <c r="G470" s="1" t="str">
        <f>IF(OR(ISERROR(SEARCH("recipiente",A470))=FALSE, ISERROR(SEARCH("serbatoio",A470))=FALSE, ISERROR(SEARCH("scambiatore",A470))=FALSE),
    IF(D470*E470&gt;3000,"IV",
        IF(D470*E470&gt;1000,"III",
            IF(D470*E470&gt;200,"II",
                IF(D470*E470&gt;50,"I","")
            )
        )
    ),
    IF(ISERROR(SEARCH("valvola di sicurezza",A470))=FALSE,"IV","")
)</f>
        <v/>
      </c>
    </row>
    <row r="471" spans="1:7" x14ac:dyDescent="0.3">
      <c r="A471" t="s">
        <v>65</v>
      </c>
      <c r="B471" t="s">
        <v>377</v>
      </c>
      <c r="C471" s="2" t="s">
        <v>378</v>
      </c>
      <c r="D471" s="1">
        <v>800</v>
      </c>
      <c r="E471" s="1">
        <v>8</v>
      </c>
      <c r="F471" s="5"/>
      <c r="G471" s="1" t="str">
        <f>IF(OR(ISERROR(SEARCH("recipiente",A471))=FALSE, ISERROR(SEARCH("serbatoio",A471))=FALSE, ISERROR(SEARCH("scambiatore",A471))=FALSE),
    IF(D471*E471&gt;3000,"IV",
        IF(D471*E471&gt;1000,"III",
            IF(D471*E471&gt;200,"II",
                IF(D471*E471&gt;50,"I","")
            )
        )
    ),
    IF(ISERROR(SEARCH("valvola di sicurezza",A471))=FALSE,"IV","")
)</f>
        <v/>
      </c>
    </row>
    <row r="472" spans="1:7" x14ac:dyDescent="0.3">
      <c r="A472" t="s">
        <v>65</v>
      </c>
      <c r="B472" t="s">
        <v>377</v>
      </c>
      <c r="C472" s="2" t="s">
        <v>379</v>
      </c>
      <c r="D472" s="1">
        <v>540</v>
      </c>
      <c r="E472" s="1">
        <v>15</v>
      </c>
      <c r="F472" s="5"/>
      <c r="G472" s="1" t="str">
        <f>IF(OR(ISERROR(SEARCH("recipiente",A472))=FALSE, ISERROR(SEARCH("serbatoio",A472))=FALSE, ISERROR(SEARCH("scambiatore",A472))=FALSE),
    IF(D472*E472&gt;3000,"IV",
        IF(D472*E472&gt;1000,"III",
            IF(D472*E472&gt;200,"II",
                IF(D472*E472&gt;50,"I","")
            )
        )
    ),
    IF(ISERROR(SEARCH("valvola di sicurezza",A472))=FALSE,"IV","")
)</f>
        <v/>
      </c>
    </row>
    <row r="473" spans="1:7" x14ac:dyDescent="0.3">
      <c r="A473" t="s">
        <v>65</v>
      </c>
      <c r="B473" t="s">
        <v>377</v>
      </c>
      <c r="C473" s="2" t="s">
        <v>380</v>
      </c>
      <c r="D473" s="1">
        <v>670</v>
      </c>
      <c r="E473" s="1">
        <v>11</v>
      </c>
      <c r="F473" s="5"/>
      <c r="G473" s="1" t="str">
        <f>IF(OR(ISERROR(SEARCH("recipiente",A473))=FALSE, ISERROR(SEARCH("serbatoio",A473))=FALSE, ISERROR(SEARCH("scambiatore",A473))=FALSE),
    IF(D473*E473&gt;3000,"IV",
        IF(D473*E473&gt;1000,"III",
            IF(D473*E473&gt;200,"II",
                IF(D473*E473&gt;50,"I","")
            )
        )
    ),
    IF(ISERROR(SEARCH("valvola di sicurezza",A473))=FALSE,"IV","")
)</f>
        <v/>
      </c>
    </row>
    <row r="474" spans="1:7" x14ac:dyDescent="0.3">
      <c r="A474" t="s">
        <v>65</v>
      </c>
      <c r="B474" t="s">
        <v>377</v>
      </c>
      <c r="C474" s="2" t="s">
        <v>381</v>
      </c>
      <c r="D474" s="1">
        <v>600</v>
      </c>
      <c r="E474" s="1">
        <v>8</v>
      </c>
      <c r="F474" s="5"/>
      <c r="G474" s="1" t="str">
        <f>IF(OR(ISERROR(SEARCH("recipiente",A474))=FALSE, ISERROR(SEARCH("serbatoio",A474))=FALSE, ISERROR(SEARCH("scambiatore",A474))=FALSE),
    IF(D474*E474&gt;3000,"IV",
        IF(D474*E474&gt;1000,"III",
            IF(D474*E474&gt;200,"II",
                IF(D474*E474&gt;50,"I","")
            )
        )
    ),
    IF(ISERROR(SEARCH("valvola di sicurezza",A474))=FALSE,"IV","")
)</f>
        <v/>
      </c>
    </row>
    <row r="475" spans="1:7" x14ac:dyDescent="0.3">
      <c r="A475" t="s">
        <v>65</v>
      </c>
      <c r="B475" t="s">
        <v>377</v>
      </c>
      <c r="C475" s="2" t="s">
        <v>382</v>
      </c>
      <c r="D475" s="1">
        <v>370</v>
      </c>
      <c r="E475" s="1">
        <v>15</v>
      </c>
      <c r="F475" s="5"/>
      <c r="G475" s="1" t="str">
        <f>IF(OR(ISERROR(SEARCH("recipiente",A475))=FALSE, ISERROR(SEARCH("serbatoio",A475))=FALSE, ISERROR(SEARCH("scambiatore",A475))=FALSE),
    IF(D475*E475&gt;3000,"IV",
        IF(D475*E475&gt;1000,"III",
            IF(D475*E475&gt;200,"II",
                IF(D475*E475&gt;50,"I","")
            )
        )
    ),
    IF(ISERROR(SEARCH("valvola di sicurezza",A475))=FALSE,"IV","")
)</f>
        <v/>
      </c>
    </row>
    <row r="476" spans="1:7" x14ac:dyDescent="0.3">
      <c r="A476" t="s">
        <v>65</v>
      </c>
      <c r="B476" t="s">
        <v>377</v>
      </c>
      <c r="C476" s="2" t="s">
        <v>383</v>
      </c>
      <c r="D476" s="1">
        <v>480</v>
      </c>
      <c r="E476" s="1">
        <v>11</v>
      </c>
      <c r="F476" s="5"/>
      <c r="G476" s="1" t="str">
        <f>IF(OR(ISERROR(SEARCH("recipiente",A476))=FALSE, ISERROR(SEARCH("serbatoio",A476))=FALSE, ISERROR(SEARCH("scambiatore",A476))=FALSE),
    IF(D476*E476&gt;3000,"IV",
        IF(D476*E476&gt;1000,"III",
            IF(D476*E476&gt;200,"II",
                IF(D476*E476&gt;50,"I","")
            )
        )
    ),
    IF(ISERROR(SEARCH("valvola di sicurezza",A476))=FALSE,"IV","")
)</f>
        <v/>
      </c>
    </row>
    <row r="477" spans="1:7" x14ac:dyDescent="0.3">
      <c r="A477" t="s">
        <v>65</v>
      </c>
      <c r="B477" t="s">
        <v>377</v>
      </c>
      <c r="C477" s="2" t="s">
        <v>384</v>
      </c>
      <c r="D477" s="1">
        <v>450</v>
      </c>
      <c r="E477" s="1">
        <v>8</v>
      </c>
      <c r="F477" s="5"/>
      <c r="G477" s="1" t="str">
        <f>IF(OR(ISERROR(SEARCH("recipiente",A477))=FALSE, ISERROR(SEARCH("serbatoio",A477))=FALSE, ISERROR(SEARCH("scambiatore",A477))=FALSE),
    IF(D477*E477&gt;3000,"IV",
        IF(D477*E477&gt;1000,"III",
            IF(D477*E477&gt;200,"II",
                IF(D477*E477&gt;50,"I","")
            )
        )
    ),
    IF(ISERROR(SEARCH("valvola di sicurezza",A477))=FALSE,"IV","")
)</f>
        <v/>
      </c>
    </row>
    <row r="478" spans="1:7" x14ac:dyDescent="0.3">
      <c r="A478" t="s">
        <v>65</v>
      </c>
      <c r="B478" t="s">
        <v>377</v>
      </c>
      <c r="C478" s="2" t="s">
        <v>385</v>
      </c>
      <c r="D478" s="1">
        <v>260</v>
      </c>
      <c r="E478" s="1">
        <v>15</v>
      </c>
      <c r="F478" s="5"/>
      <c r="G478" s="1" t="str">
        <f>IF(OR(ISERROR(SEARCH("recipiente",A478))=FALSE, ISERROR(SEARCH("serbatoio",A478))=FALSE, ISERROR(SEARCH("scambiatore",A478))=FALSE),
    IF(D478*E478&gt;3000,"IV",
        IF(D478*E478&gt;1000,"III",
            IF(D478*E478&gt;200,"II",
                IF(D478*E478&gt;50,"I","")
            )
        )
    ),
    IF(ISERROR(SEARCH("valvola di sicurezza",A478))=FALSE,"IV","")
)</f>
        <v/>
      </c>
    </row>
    <row r="479" spans="1:7" x14ac:dyDescent="0.3">
      <c r="A479" t="s">
        <v>65</v>
      </c>
      <c r="B479" t="s">
        <v>377</v>
      </c>
      <c r="C479" s="2" t="s">
        <v>386</v>
      </c>
      <c r="D479" s="1">
        <v>360</v>
      </c>
      <c r="E479" s="1">
        <v>11</v>
      </c>
      <c r="F479" s="5"/>
      <c r="G479" s="1" t="str">
        <f>IF(OR(ISERROR(SEARCH("recipiente",A479))=FALSE, ISERROR(SEARCH("serbatoio",A479))=FALSE, ISERROR(SEARCH("scambiatore",A479))=FALSE),
    IF(D479*E479&gt;3000,"IV",
        IF(D479*E479&gt;1000,"III",
            IF(D479*E479&gt;200,"II",
                IF(D479*E479&gt;50,"I","")
            )
        )
    ),
    IF(ISERROR(SEARCH("valvola di sicurezza",A479))=FALSE,"IV","")
)</f>
        <v/>
      </c>
    </row>
    <row r="480" spans="1:7" x14ac:dyDescent="0.3">
      <c r="A480" t="s">
        <v>65</v>
      </c>
      <c r="B480" t="s">
        <v>377</v>
      </c>
      <c r="C480" s="2" t="s">
        <v>387</v>
      </c>
      <c r="D480" s="1">
        <v>340</v>
      </c>
      <c r="E480" s="1">
        <v>8</v>
      </c>
      <c r="F480" s="5"/>
      <c r="G480" s="1" t="str">
        <f>IF(OR(ISERROR(SEARCH("recipiente",A480))=FALSE, ISERROR(SEARCH("serbatoio",A480))=FALSE, ISERROR(SEARCH("scambiatore",A480))=FALSE),
    IF(D480*E480&gt;3000,"IV",
        IF(D480*E480&gt;1000,"III",
            IF(D480*E480&gt;200,"II",
                IF(D480*E480&gt;50,"I","")
            )
        )
    ),
    IF(ISERROR(SEARCH("valvola di sicurezza",A480))=FALSE,"IV","")
)</f>
        <v/>
      </c>
    </row>
    <row r="481" spans="1:7" x14ac:dyDescent="0.3">
      <c r="A481" t="s">
        <v>65</v>
      </c>
      <c r="B481" t="s">
        <v>377</v>
      </c>
      <c r="C481" s="2" t="s">
        <v>388</v>
      </c>
      <c r="D481" s="1">
        <v>260</v>
      </c>
      <c r="E481" s="1">
        <v>11</v>
      </c>
      <c r="F481" s="5"/>
      <c r="G481" s="1" t="str">
        <f>IF(OR(ISERROR(SEARCH("recipiente",A481))=FALSE, ISERROR(SEARCH("serbatoio",A481))=FALSE, ISERROR(SEARCH("scambiatore",A481))=FALSE),
    IF(D481*E481&gt;3000,"IV",
        IF(D481*E481&gt;1000,"III",
            IF(D481*E481&gt;200,"II",
                IF(D481*E481&gt;50,"I","")
            )
        )
    ),
    IF(ISERROR(SEARCH("valvola di sicurezza",A481))=FALSE,"IV","")
)</f>
        <v/>
      </c>
    </row>
    <row r="482" spans="1:7" x14ac:dyDescent="0.3">
      <c r="A482" t="s">
        <v>65</v>
      </c>
      <c r="B482" t="s">
        <v>377</v>
      </c>
      <c r="C482" s="2" t="s">
        <v>389</v>
      </c>
      <c r="D482" s="1">
        <v>800</v>
      </c>
      <c r="E482" s="1">
        <v>8</v>
      </c>
      <c r="F482" s="5"/>
      <c r="G482" s="1" t="str">
        <f>IF(OR(ISERROR(SEARCH("recipiente",A482))=FALSE, ISERROR(SEARCH("serbatoio",A482))=FALSE, ISERROR(SEARCH("scambiatore",A482))=FALSE),
    IF(D482*E482&gt;3000,"IV",
        IF(D482*E482&gt;1000,"III",
            IF(D482*E482&gt;200,"II",
                IF(D482*E482&gt;50,"I","")
            )
        )
    ),
    IF(ISERROR(SEARCH("valvola di sicurezza",A482))=FALSE,"IV","")
)</f>
        <v/>
      </c>
    </row>
    <row r="483" spans="1:7" x14ac:dyDescent="0.3">
      <c r="A483" t="s">
        <v>65</v>
      </c>
      <c r="B483" t="s">
        <v>377</v>
      </c>
      <c r="C483" s="2" t="s">
        <v>390</v>
      </c>
      <c r="D483" s="1">
        <v>540</v>
      </c>
      <c r="E483" s="1">
        <v>15</v>
      </c>
      <c r="F483" s="5"/>
      <c r="G483" s="1" t="str">
        <f>IF(OR(ISERROR(SEARCH("recipiente",A483))=FALSE, ISERROR(SEARCH("serbatoio",A483))=FALSE, ISERROR(SEARCH("scambiatore",A483))=FALSE),
    IF(D483*E483&gt;3000,"IV",
        IF(D483*E483&gt;1000,"III",
            IF(D483*E483&gt;200,"II",
                IF(D483*E483&gt;50,"I","")
            )
        )
    ),
    IF(ISERROR(SEARCH("valvola di sicurezza",A483))=FALSE,"IV","")
)</f>
        <v/>
      </c>
    </row>
    <row r="484" spans="1:7" x14ac:dyDescent="0.3">
      <c r="A484" t="s">
        <v>65</v>
      </c>
      <c r="B484" t="s">
        <v>377</v>
      </c>
      <c r="C484" s="2" t="s">
        <v>391</v>
      </c>
      <c r="D484" s="1">
        <v>670</v>
      </c>
      <c r="E484" s="1">
        <v>11</v>
      </c>
      <c r="F484" s="5"/>
      <c r="G484" s="1" t="str">
        <f>IF(OR(ISERROR(SEARCH("recipiente",A484))=FALSE, ISERROR(SEARCH("serbatoio",A484))=FALSE, ISERROR(SEARCH("scambiatore",A484))=FALSE),
    IF(D484*E484&gt;3000,"IV",
        IF(D484*E484&gt;1000,"III",
            IF(D484*E484&gt;200,"II",
                IF(D484*E484&gt;50,"I","")
            )
        )
    ),
    IF(ISERROR(SEARCH("valvola di sicurezza",A484))=FALSE,"IV","")
)</f>
        <v/>
      </c>
    </row>
    <row r="485" spans="1:7" x14ac:dyDescent="0.3">
      <c r="A485" t="s">
        <v>65</v>
      </c>
      <c r="B485" t="s">
        <v>377</v>
      </c>
      <c r="C485" s="2" t="s">
        <v>392</v>
      </c>
      <c r="D485" s="1">
        <v>600</v>
      </c>
      <c r="E485" s="1">
        <v>8</v>
      </c>
      <c r="F485" s="5"/>
      <c r="G485" s="1" t="str">
        <f>IF(OR(ISERROR(SEARCH("recipiente",A485))=FALSE, ISERROR(SEARCH("serbatoio",A485))=FALSE, ISERROR(SEARCH("scambiatore",A485))=FALSE),
    IF(D485*E485&gt;3000,"IV",
        IF(D485*E485&gt;1000,"III",
            IF(D485*E485&gt;200,"II",
                IF(D485*E485&gt;50,"I","")
            )
        )
    ),
    IF(ISERROR(SEARCH("valvola di sicurezza",A485))=FALSE,"IV","")
)</f>
        <v/>
      </c>
    </row>
    <row r="486" spans="1:7" x14ac:dyDescent="0.3">
      <c r="A486" t="s">
        <v>65</v>
      </c>
      <c r="B486" t="s">
        <v>377</v>
      </c>
      <c r="C486" s="2" t="s">
        <v>393</v>
      </c>
      <c r="D486" s="1">
        <v>370</v>
      </c>
      <c r="E486" s="1">
        <v>15</v>
      </c>
      <c r="F486" s="5"/>
      <c r="G486" s="1" t="str">
        <f>IF(OR(ISERROR(SEARCH("recipiente",A486))=FALSE, ISERROR(SEARCH("serbatoio",A486))=FALSE, ISERROR(SEARCH("scambiatore",A486))=FALSE),
    IF(D486*E486&gt;3000,"IV",
        IF(D486*E486&gt;1000,"III",
            IF(D486*E486&gt;200,"II",
                IF(D486*E486&gt;50,"I","")
            )
        )
    ),
    IF(ISERROR(SEARCH("valvola di sicurezza",A486))=FALSE,"IV","")
)</f>
        <v/>
      </c>
    </row>
    <row r="487" spans="1:7" x14ac:dyDescent="0.3">
      <c r="A487" t="s">
        <v>65</v>
      </c>
      <c r="B487" t="s">
        <v>377</v>
      </c>
      <c r="C487" s="2" t="s">
        <v>394</v>
      </c>
      <c r="D487" s="1">
        <v>480</v>
      </c>
      <c r="E487" s="1">
        <v>11</v>
      </c>
      <c r="F487" s="5"/>
      <c r="G487" s="1" t="str">
        <f>IF(OR(ISERROR(SEARCH("recipiente",A487))=FALSE, ISERROR(SEARCH("serbatoio",A487))=FALSE, ISERROR(SEARCH("scambiatore",A487))=FALSE),
    IF(D487*E487&gt;3000,"IV",
        IF(D487*E487&gt;1000,"III",
            IF(D487*E487&gt;200,"II",
                IF(D487*E487&gt;50,"I","")
            )
        )
    ),
    IF(ISERROR(SEARCH("valvola di sicurezza",A487))=FALSE,"IV","")
)</f>
        <v/>
      </c>
    </row>
    <row r="488" spans="1:7" x14ac:dyDescent="0.3">
      <c r="A488" t="s">
        <v>65</v>
      </c>
      <c r="B488" t="s">
        <v>377</v>
      </c>
      <c r="C488" s="2" t="s">
        <v>395</v>
      </c>
      <c r="D488" s="1">
        <v>450</v>
      </c>
      <c r="E488" s="1">
        <v>8</v>
      </c>
      <c r="F488" s="5"/>
      <c r="G488" s="1" t="str">
        <f>IF(OR(ISERROR(SEARCH("recipiente",A488))=FALSE, ISERROR(SEARCH("serbatoio",A488))=FALSE, ISERROR(SEARCH("scambiatore",A488))=FALSE),
    IF(D488*E488&gt;3000,"IV",
        IF(D488*E488&gt;1000,"III",
            IF(D488*E488&gt;200,"II",
                IF(D488*E488&gt;50,"I","")
            )
        )
    ),
    IF(ISERROR(SEARCH("valvola di sicurezza",A488))=FALSE,"IV","")
)</f>
        <v/>
      </c>
    </row>
    <row r="489" spans="1:7" x14ac:dyDescent="0.3">
      <c r="A489" t="s">
        <v>65</v>
      </c>
      <c r="B489" t="s">
        <v>377</v>
      </c>
      <c r="C489" s="2" t="s">
        <v>396</v>
      </c>
      <c r="D489" s="1">
        <v>260</v>
      </c>
      <c r="E489" s="1">
        <v>15</v>
      </c>
      <c r="F489" s="5"/>
      <c r="G489" s="1" t="str">
        <f>IF(OR(ISERROR(SEARCH("recipiente",A489))=FALSE, ISERROR(SEARCH("serbatoio",A489))=FALSE, ISERROR(SEARCH("scambiatore",A489))=FALSE),
    IF(D489*E489&gt;3000,"IV",
        IF(D489*E489&gt;1000,"III",
            IF(D489*E489&gt;200,"II",
                IF(D489*E489&gt;50,"I","")
            )
        )
    ),
    IF(ISERROR(SEARCH("valvola di sicurezza",A489))=FALSE,"IV","")
)</f>
        <v/>
      </c>
    </row>
    <row r="490" spans="1:7" x14ac:dyDescent="0.3">
      <c r="A490" t="s">
        <v>65</v>
      </c>
      <c r="B490" t="s">
        <v>377</v>
      </c>
      <c r="C490" s="2" t="s">
        <v>397</v>
      </c>
      <c r="D490" s="1">
        <v>360</v>
      </c>
      <c r="E490" s="1">
        <v>11</v>
      </c>
      <c r="F490" s="5"/>
      <c r="G490" s="1" t="str">
        <f>IF(OR(ISERROR(SEARCH("recipiente",A490))=FALSE, ISERROR(SEARCH("serbatoio",A490))=FALSE, ISERROR(SEARCH("scambiatore",A490))=FALSE),
    IF(D490*E490&gt;3000,"IV",
        IF(D490*E490&gt;1000,"III",
            IF(D490*E490&gt;200,"II",
                IF(D490*E490&gt;50,"I","")
            )
        )
    ),
    IF(ISERROR(SEARCH("valvola di sicurezza",A490))=FALSE,"IV","")
)</f>
        <v/>
      </c>
    </row>
    <row r="491" spans="1:7" x14ac:dyDescent="0.3">
      <c r="A491" t="s">
        <v>65</v>
      </c>
      <c r="B491" t="s">
        <v>377</v>
      </c>
      <c r="C491" s="2" t="s">
        <v>398</v>
      </c>
      <c r="D491" s="1">
        <v>340</v>
      </c>
      <c r="E491" s="1">
        <v>8</v>
      </c>
      <c r="F491" s="5"/>
      <c r="G491" s="1" t="str">
        <f>IF(OR(ISERROR(SEARCH("recipiente",A491))=FALSE, ISERROR(SEARCH("serbatoio",A491))=FALSE, ISERROR(SEARCH("scambiatore",A491))=FALSE),
    IF(D491*E491&gt;3000,"IV",
        IF(D491*E491&gt;1000,"III",
            IF(D491*E491&gt;200,"II",
                IF(D491*E491&gt;50,"I","")
            )
        )
    ),
    IF(ISERROR(SEARCH("valvola di sicurezza",A491))=FALSE,"IV","")
)</f>
        <v/>
      </c>
    </row>
    <row r="492" spans="1:7" x14ac:dyDescent="0.3">
      <c r="A492" t="s">
        <v>65</v>
      </c>
      <c r="B492" t="s">
        <v>377</v>
      </c>
      <c r="C492" s="2" t="s">
        <v>399</v>
      </c>
      <c r="D492" s="1">
        <v>260</v>
      </c>
      <c r="E492" s="1">
        <v>11</v>
      </c>
      <c r="F492" s="5"/>
      <c r="G492" s="1" t="str">
        <f>IF(OR(ISERROR(SEARCH("recipiente",A492))=FALSE, ISERROR(SEARCH("serbatoio",A492))=FALSE, ISERROR(SEARCH("scambiatore",A492))=FALSE),
    IF(D492*E492&gt;3000,"IV",
        IF(D492*E492&gt;1000,"III",
            IF(D492*E492&gt;200,"II",
                IF(D492*E492&gt;50,"I","")
            )
        )
    ),
    IF(ISERROR(SEARCH("valvola di sicurezza",A492))=FALSE,"IV","")
)</f>
        <v/>
      </c>
    </row>
    <row r="493" spans="1:7" x14ac:dyDescent="0.3">
      <c r="A493" t="s">
        <v>65</v>
      </c>
      <c r="B493" t="s">
        <v>377</v>
      </c>
      <c r="C493" s="2" t="s">
        <v>400</v>
      </c>
      <c r="D493" s="1"/>
      <c r="E493" s="1"/>
      <c r="F493" s="5"/>
      <c r="G493" s="1" t="str">
        <f>IF(OR(ISERROR(SEARCH("recipiente",A493))=FALSE, ISERROR(SEARCH("serbatoio",A493))=FALSE, ISERROR(SEARCH("scambiatore",A493))=FALSE),
    IF(D493*E493&gt;3000,"IV",
        IF(D493*E493&gt;1000,"III",
            IF(D493*E493&gt;200,"II",
                IF(D493*E493&gt;50,"I","")
            )
        )
    ),
    IF(ISERROR(SEARCH("valvola di sicurezza",A493))=FALSE,"IV","")
)</f>
        <v/>
      </c>
    </row>
    <row r="494" spans="1:7" x14ac:dyDescent="0.3">
      <c r="A494" t="s">
        <v>65</v>
      </c>
      <c r="B494" t="s">
        <v>377</v>
      </c>
      <c r="C494" s="2" t="s">
        <v>401</v>
      </c>
      <c r="D494" s="1">
        <v>900</v>
      </c>
      <c r="E494" s="1">
        <v>8</v>
      </c>
      <c r="F494" s="5"/>
      <c r="G494" s="1" t="str">
        <f>IF(OR(ISERROR(SEARCH("recipiente",A494))=FALSE, ISERROR(SEARCH("serbatoio",A494))=FALSE, ISERROR(SEARCH("scambiatore",A494))=FALSE),
    IF(D494*E494&gt;3000,"IV",
        IF(D494*E494&gt;1000,"III",
            IF(D494*E494&gt;200,"II",
                IF(D494*E494&gt;50,"I","")
            )
        )
    ),
    IF(ISERROR(SEARCH("valvola di sicurezza",A494))=FALSE,"IV","")
)</f>
        <v/>
      </c>
    </row>
    <row r="495" spans="1:7" x14ac:dyDescent="0.3">
      <c r="A495" t="s">
        <v>65</v>
      </c>
      <c r="B495" t="s">
        <v>377</v>
      </c>
      <c r="C495" s="2" t="s">
        <v>402</v>
      </c>
      <c r="D495" s="1">
        <v>560</v>
      </c>
      <c r="E495" s="1">
        <v>15</v>
      </c>
      <c r="F495" s="5"/>
      <c r="G495" s="1" t="str">
        <f>IF(OR(ISERROR(SEARCH("recipiente",A495))=FALSE, ISERROR(SEARCH("serbatoio",A495))=FALSE, ISERROR(SEARCH("scambiatore",A495))=FALSE),
    IF(D495*E495&gt;3000,"IV",
        IF(D495*E495&gt;1000,"III",
            IF(D495*E495&gt;200,"II",
                IF(D495*E495&gt;50,"I","")
            )
        )
    ),
    IF(ISERROR(SEARCH("valvola di sicurezza",A495))=FALSE,"IV","")
)</f>
        <v/>
      </c>
    </row>
    <row r="496" spans="1:7" x14ac:dyDescent="0.3">
      <c r="A496" t="s">
        <v>65</v>
      </c>
      <c r="B496" t="s">
        <v>377</v>
      </c>
      <c r="C496" s="2" t="s">
        <v>403</v>
      </c>
      <c r="D496" s="1">
        <v>750</v>
      </c>
      <c r="E496" s="1">
        <v>11</v>
      </c>
      <c r="F496" s="5"/>
      <c r="G496" s="1" t="str">
        <f>IF(OR(ISERROR(SEARCH("recipiente",A496))=FALSE, ISERROR(SEARCH("serbatoio",A496))=FALSE, ISERROR(SEARCH("scambiatore",A496))=FALSE),
    IF(D496*E496&gt;3000,"IV",
        IF(D496*E496&gt;1000,"III",
            IF(D496*E496&gt;200,"II",
                IF(D496*E496&gt;50,"I","")
            )
        )
    ),
    IF(ISERROR(SEARCH("valvola di sicurezza",A496))=FALSE,"IV","")
)</f>
        <v/>
      </c>
    </row>
    <row r="497" spans="1:7" x14ac:dyDescent="0.3">
      <c r="A497" t="s">
        <v>65</v>
      </c>
      <c r="B497" t="s">
        <v>377</v>
      </c>
      <c r="C497" s="2" t="s">
        <v>404</v>
      </c>
      <c r="D497" s="1">
        <v>900</v>
      </c>
      <c r="E497" s="1">
        <v>8</v>
      </c>
      <c r="F497" s="5"/>
      <c r="G497" s="1" t="str">
        <f>IF(OR(ISERROR(SEARCH("recipiente",A497))=FALSE, ISERROR(SEARCH("serbatoio",A497))=FALSE, ISERROR(SEARCH("scambiatore",A497))=FALSE),
    IF(D497*E497&gt;3000,"IV",
        IF(D497*E497&gt;1000,"III",
            IF(D497*E497&gt;200,"II",
                IF(D497*E497&gt;50,"I","")
            )
        )
    ),
    IF(ISERROR(SEARCH("valvola di sicurezza",A497))=FALSE,"IV","")
)</f>
        <v/>
      </c>
    </row>
    <row r="498" spans="1:7" x14ac:dyDescent="0.3">
      <c r="A498" t="s">
        <v>65</v>
      </c>
      <c r="B498" t="s">
        <v>377</v>
      </c>
      <c r="C498" s="2" t="s">
        <v>405</v>
      </c>
      <c r="D498" s="1">
        <v>600</v>
      </c>
      <c r="E498" s="1">
        <v>15</v>
      </c>
      <c r="F498" s="5"/>
      <c r="G498" s="1" t="str">
        <f>IF(OR(ISERROR(SEARCH("recipiente",A498))=FALSE, ISERROR(SEARCH("serbatoio",A498))=FALSE, ISERROR(SEARCH("scambiatore",A498))=FALSE),
    IF(D498*E498&gt;3000,"IV",
        IF(D498*E498&gt;1000,"III",
            IF(D498*E498&gt;200,"II",
                IF(D498*E498&gt;50,"I","")
            )
        )
    ),
    IF(ISERROR(SEARCH("valvola di sicurezza",A498))=FALSE,"IV","")
)</f>
        <v/>
      </c>
    </row>
    <row r="499" spans="1:7" x14ac:dyDescent="0.3">
      <c r="A499" t="s">
        <v>65</v>
      </c>
      <c r="B499" t="s">
        <v>377</v>
      </c>
      <c r="C499" s="2" t="s">
        <v>406</v>
      </c>
      <c r="D499" s="1">
        <v>750</v>
      </c>
      <c r="E499" s="1">
        <v>11</v>
      </c>
      <c r="F499" s="5"/>
      <c r="G499" s="1" t="str">
        <f>IF(OR(ISERROR(SEARCH("recipiente",A499))=FALSE, ISERROR(SEARCH("serbatoio",A499))=FALSE, ISERROR(SEARCH("scambiatore",A499))=FALSE),
    IF(D499*E499&gt;3000,"IV",
        IF(D499*E499&gt;1000,"III",
            IF(D499*E499&gt;200,"II",
                IF(D499*E499&gt;50,"I","")
            )
        )
    ),
    IF(ISERROR(SEARCH("valvola di sicurezza",A499))=FALSE,"IV","")
)</f>
        <v/>
      </c>
    </row>
    <row r="500" spans="1:7" x14ac:dyDescent="0.3">
      <c r="A500" t="s">
        <v>65</v>
      </c>
      <c r="B500" t="s">
        <v>377</v>
      </c>
      <c r="C500" s="2" t="s">
        <v>407</v>
      </c>
      <c r="D500" s="1">
        <v>740</v>
      </c>
      <c r="E500" s="1">
        <v>8</v>
      </c>
      <c r="F500" s="5"/>
      <c r="G500" s="1" t="str">
        <f>IF(OR(ISERROR(SEARCH("recipiente",A500))=FALSE, ISERROR(SEARCH("serbatoio",A500))=FALSE, ISERROR(SEARCH("scambiatore",A500))=FALSE),
    IF(D500*E500&gt;3000,"IV",
        IF(D500*E500&gt;1000,"III",
            IF(D500*E500&gt;200,"II",
                IF(D500*E500&gt;50,"I","")
            )
        )
    ),
    IF(ISERROR(SEARCH("valvola di sicurezza",A500))=FALSE,"IV","")
)</f>
        <v/>
      </c>
    </row>
    <row r="501" spans="1:7" x14ac:dyDescent="0.3">
      <c r="A501" t="s">
        <v>65</v>
      </c>
      <c r="B501" t="s">
        <v>377</v>
      </c>
      <c r="C501" s="2" t="s">
        <v>408</v>
      </c>
      <c r="D501" s="1">
        <v>600</v>
      </c>
      <c r="E501" s="1">
        <v>11</v>
      </c>
      <c r="F501" s="5"/>
      <c r="G501" s="1" t="str">
        <f>IF(OR(ISERROR(SEARCH("recipiente",A501))=FALSE, ISERROR(SEARCH("serbatoio",A501))=FALSE, ISERROR(SEARCH("scambiatore",A501))=FALSE),
    IF(D501*E501&gt;3000,"IV",
        IF(D501*E501&gt;1000,"III",
            IF(D501*E501&gt;200,"II",
                IF(D501*E501&gt;50,"I","")
            )
        )
    ),
    IF(ISERROR(SEARCH("valvola di sicurezza",A501))=FALSE,"IV","")
)</f>
        <v/>
      </c>
    </row>
    <row r="502" spans="1:7" x14ac:dyDescent="0.3">
      <c r="A502" t="s">
        <v>65</v>
      </c>
      <c r="B502" t="s">
        <v>377</v>
      </c>
      <c r="C502" s="2" t="s">
        <v>409</v>
      </c>
      <c r="D502" s="1">
        <v>1620</v>
      </c>
      <c r="E502" s="1">
        <v>8</v>
      </c>
      <c r="F502" s="5"/>
      <c r="G502" s="1" t="str">
        <f>IF(OR(ISERROR(SEARCH("recipiente",A502))=FALSE, ISERROR(SEARCH("serbatoio",A502))=FALSE, ISERROR(SEARCH("scambiatore",A502))=FALSE),
    IF(D502*E502&gt;3000,"IV",
        IF(D502*E502&gt;1000,"III",
            IF(D502*E502&gt;200,"II",
                IF(D502*E502&gt;50,"I","")
            )
        )
    ),
    IF(ISERROR(SEARCH("valvola di sicurezza",A502))=FALSE,"IV","")
)</f>
        <v/>
      </c>
    </row>
    <row r="503" spans="1:7" x14ac:dyDescent="0.3">
      <c r="A503" t="s">
        <v>65</v>
      </c>
      <c r="B503" t="s">
        <v>377</v>
      </c>
      <c r="C503" s="2" t="s">
        <v>410</v>
      </c>
      <c r="D503" s="1">
        <v>1090</v>
      </c>
      <c r="E503" s="1">
        <v>15</v>
      </c>
      <c r="F503" s="5"/>
      <c r="G503" s="1" t="str">
        <f>IF(OR(ISERROR(SEARCH("recipiente",A503))=FALSE, ISERROR(SEARCH("serbatoio",A503))=FALSE, ISERROR(SEARCH("scambiatore",A503))=FALSE),
    IF(D503*E503&gt;3000,"IV",
        IF(D503*E503&gt;1000,"III",
            IF(D503*E503&gt;200,"II",
                IF(D503*E503&gt;50,"I","")
            )
        )
    ),
    IF(ISERROR(SEARCH("valvola di sicurezza",A503))=FALSE,"IV","")
)</f>
        <v/>
      </c>
    </row>
    <row r="504" spans="1:7" x14ac:dyDescent="0.3">
      <c r="A504" t="s">
        <v>65</v>
      </c>
      <c r="B504" t="s">
        <v>377</v>
      </c>
      <c r="C504" s="2" t="s">
        <v>411</v>
      </c>
      <c r="D504" s="1">
        <v>1360</v>
      </c>
      <c r="E504" s="1">
        <v>11</v>
      </c>
      <c r="F504" s="5"/>
      <c r="G504" s="1" t="str">
        <f>IF(OR(ISERROR(SEARCH("recipiente",A504))=FALSE, ISERROR(SEARCH("serbatoio",A504))=FALSE, ISERROR(SEARCH("scambiatore",A504))=FALSE),
    IF(D504*E504&gt;3000,"IV",
        IF(D504*E504&gt;1000,"III",
            IF(D504*E504&gt;200,"II",
                IF(D504*E504&gt;50,"I","")
            )
        )
    ),
    IF(ISERROR(SEARCH("valvola di sicurezza",A504))=FALSE,"IV","")
)</f>
        <v/>
      </c>
    </row>
    <row r="505" spans="1:7" x14ac:dyDescent="0.3">
      <c r="A505" t="s">
        <v>65</v>
      </c>
      <c r="B505" t="s">
        <v>377</v>
      </c>
      <c r="C505" s="2" t="s">
        <v>412</v>
      </c>
      <c r="D505" s="1">
        <v>1640</v>
      </c>
      <c r="E505" s="1">
        <v>8</v>
      </c>
      <c r="F505" s="5"/>
      <c r="G505" s="1" t="str">
        <f>IF(OR(ISERROR(SEARCH("recipiente",A505))=FALSE, ISERROR(SEARCH("serbatoio",A505))=FALSE, ISERROR(SEARCH("scambiatore",A505))=FALSE),
    IF(D505*E505&gt;3000,"IV",
        IF(D505*E505&gt;1000,"III",
            IF(D505*E505&gt;200,"II",
                IF(D505*E505&gt;50,"I","")
            )
        )
    ),
    IF(ISERROR(SEARCH("valvola di sicurezza",A505))=FALSE,"IV","")
)</f>
        <v/>
      </c>
    </row>
    <row r="506" spans="1:7" x14ac:dyDescent="0.3">
      <c r="A506" t="s">
        <v>65</v>
      </c>
      <c r="B506" t="s">
        <v>377</v>
      </c>
      <c r="C506" s="2" t="s">
        <v>413</v>
      </c>
      <c r="D506" s="1">
        <v>1370</v>
      </c>
      <c r="E506" s="1">
        <v>11</v>
      </c>
      <c r="F506" s="5"/>
      <c r="G506" s="1" t="str">
        <f>IF(OR(ISERROR(SEARCH("recipiente",A506))=FALSE, ISERROR(SEARCH("serbatoio",A506))=FALSE, ISERROR(SEARCH("scambiatore",A506))=FALSE),
    IF(D506*E506&gt;3000,"IV",
        IF(D506*E506&gt;1000,"III",
            IF(D506*E506&gt;200,"II",
                IF(D506*E506&gt;50,"I","")
            )
        )
    ),
    IF(ISERROR(SEARCH("valvola di sicurezza",A506))=FALSE,"IV","")
)</f>
        <v/>
      </c>
    </row>
    <row r="507" spans="1:7" x14ac:dyDescent="0.3">
      <c r="A507" t="s">
        <v>65</v>
      </c>
      <c r="B507" t="s">
        <v>377</v>
      </c>
      <c r="C507" s="2" t="s">
        <v>414</v>
      </c>
      <c r="D507" s="1">
        <v>1100</v>
      </c>
      <c r="E507" s="1">
        <v>15</v>
      </c>
      <c r="F507" s="5"/>
      <c r="G507" s="1" t="str">
        <f>IF(OR(ISERROR(SEARCH("recipiente",A507))=FALSE, ISERROR(SEARCH("serbatoio",A507))=FALSE, ISERROR(SEARCH("scambiatore",A507))=FALSE),
    IF(D507*E507&gt;3000,"IV",
        IF(D507*E507&gt;1000,"III",
            IF(D507*E507&gt;200,"II",
                IF(D507*E507&gt;50,"I","")
            )
        )
    ),
    IF(ISERROR(SEARCH("valvola di sicurezza",A507))=FALSE,"IV","")
)</f>
        <v/>
      </c>
    </row>
    <row r="508" spans="1:7" x14ac:dyDescent="0.3">
      <c r="A508" t="s">
        <v>415</v>
      </c>
      <c r="B508" t="s">
        <v>377</v>
      </c>
      <c r="C508" s="2" t="s">
        <v>416</v>
      </c>
      <c r="D508" s="1">
        <v>975</v>
      </c>
      <c r="E508" s="1">
        <v>10</v>
      </c>
      <c r="F508" s="5"/>
      <c r="G508" s="1" t="str">
        <f>IF(OR(ISERROR(SEARCH("recipiente",A508))=FALSE, ISERROR(SEARCH("serbatoio",A508))=FALSE, ISERROR(SEARCH("scambiatore",A508))=FALSE),
    IF(D508*E508&gt;3000,"IV",
        IF(D508*E508&gt;1000,"III",
            IF(D508*E508&gt;200,"II",
                IF(D508*E508&gt;50,"I","")
            )
        )
    ),
    IF(ISERROR(SEARCH("valvola di sicurezza",A508))=FALSE,"IV","")
)</f>
        <v/>
      </c>
    </row>
    <row r="509" spans="1:7" x14ac:dyDescent="0.3">
      <c r="A509" t="s">
        <v>415</v>
      </c>
      <c r="B509" t="s">
        <v>377</v>
      </c>
      <c r="C509" s="2" t="s">
        <v>417</v>
      </c>
      <c r="D509" s="1">
        <v>795</v>
      </c>
      <c r="E509" s="1">
        <v>13</v>
      </c>
      <c r="F509" s="5"/>
      <c r="G509" s="1" t="str">
        <f>IF(OR(ISERROR(SEARCH("recipiente",A509))=FALSE, ISERROR(SEARCH("serbatoio",A509))=FALSE, ISERROR(SEARCH("scambiatore",A509))=FALSE),
    IF(D509*E509&gt;3000,"IV",
        IF(D509*E509&gt;1000,"III",
            IF(D509*E509&gt;200,"II",
                IF(D509*E509&gt;50,"I","")
            )
        )
    ),
    IF(ISERROR(SEARCH("valvola di sicurezza",A509))=FALSE,"IV","")
)</f>
        <v/>
      </c>
    </row>
    <row r="510" spans="1:7" x14ac:dyDescent="0.3">
      <c r="A510" t="s">
        <v>415</v>
      </c>
      <c r="B510" t="s">
        <v>377</v>
      </c>
      <c r="C510" s="2" t="s">
        <v>418</v>
      </c>
      <c r="D510" s="1">
        <v>1145</v>
      </c>
      <c r="E510" s="1">
        <v>7.5</v>
      </c>
      <c r="F510" s="5"/>
      <c r="G510" s="1" t="str">
        <f>IF(OR(ISERROR(SEARCH("recipiente",A510))=FALSE, ISERROR(SEARCH("serbatoio",A510))=FALSE, ISERROR(SEARCH("scambiatore",A510))=FALSE),
    IF(D510*E510&gt;3000,"IV",
        IF(D510*E510&gt;1000,"III",
            IF(D510*E510&gt;200,"II",
                IF(D510*E510&gt;50,"I","")
            )
        )
    ),
    IF(ISERROR(SEARCH("valvola di sicurezza",A510))=FALSE,"IV","")
)</f>
        <v/>
      </c>
    </row>
    <row r="511" spans="1:7" x14ac:dyDescent="0.3">
      <c r="A511" t="s">
        <v>415</v>
      </c>
      <c r="B511" t="s">
        <v>377</v>
      </c>
      <c r="C511" s="2" t="s">
        <v>419</v>
      </c>
      <c r="D511" s="1">
        <v>1590</v>
      </c>
      <c r="E511" s="1">
        <v>10</v>
      </c>
      <c r="F511" s="5"/>
      <c r="G511" s="1" t="str">
        <f>IF(OR(ISERROR(SEARCH("recipiente",A511))=FALSE, ISERROR(SEARCH("serbatoio",A511))=FALSE, ISERROR(SEARCH("scambiatore",A511))=FALSE),
    IF(D511*E511&gt;3000,"IV",
        IF(D511*E511&gt;1000,"III",
            IF(D511*E511&gt;200,"II",
                IF(D511*E511&gt;50,"I","")
            )
        )
    ),
    IF(ISERROR(SEARCH("valvola di sicurezza",A511))=FALSE,"IV","")
)</f>
        <v/>
      </c>
    </row>
    <row r="512" spans="1:7" x14ac:dyDescent="0.3">
      <c r="A512" t="s">
        <v>415</v>
      </c>
      <c r="B512" t="s">
        <v>377</v>
      </c>
      <c r="C512" s="2" t="s">
        <v>420</v>
      </c>
      <c r="D512" s="1">
        <v>1219</v>
      </c>
      <c r="E512" s="1">
        <v>13</v>
      </c>
      <c r="F512" s="5"/>
      <c r="G512" s="1" t="str">
        <f>IF(OR(ISERROR(SEARCH("recipiente",A512))=FALSE, ISERROR(SEARCH("serbatoio",A512))=FALSE, ISERROR(SEARCH("scambiatore",A512))=FALSE),
    IF(D512*E512&gt;3000,"IV",
        IF(D512*E512&gt;1000,"III",
            IF(D512*E512&gt;200,"II",
                IF(D512*E512&gt;50,"I","")
            )
        )
    ),
    IF(ISERROR(SEARCH("valvola di sicurezza",A512))=FALSE,"IV","")
)</f>
        <v/>
      </c>
    </row>
    <row r="513" spans="1:7" x14ac:dyDescent="0.3">
      <c r="A513" t="s">
        <v>415</v>
      </c>
      <c r="B513" t="s">
        <v>377</v>
      </c>
      <c r="C513" s="2" t="s">
        <v>421</v>
      </c>
      <c r="D513" s="1">
        <v>1855</v>
      </c>
      <c r="E513" s="1">
        <v>7.5</v>
      </c>
      <c r="F513" s="5"/>
      <c r="G513" s="1" t="str">
        <f>IF(OR(ISERROR(SEARCH("recipiente",A513))=FALSE, ISERROR(SEARCH("serbatoio",A513))=FALSE, ISERROR(SEARCH("scambiatore",A513))=FALSE),
    IF(D513*E513&gt;3000,"IV",
        IF(D513*E513&gt;1000,"III",
            IF(D513*E513&gt;200,"II",
                IF(D513*E513&gt;50,"I","")
            )
        )
    ),
    IF(ISERROR(SEARCH("valvola di sicurezza",A513))=FALSE,"IV","")
)</f>
        <v/>
      </c>
    </row>
    <row r="514" spans="1:7" x14ac:dyDescent="0.3">
      <c r="A514" t="s">
        <v>415</v>
      </c>
      <c r="B514" t="s">
        <v>377</v>
      </c>
      <c r="C514" s="2" t="s">
        <v>422</v>
      </c>
      <c r="D514" s="1">
        <v>233</v>
      </c>
      <c r="E514" s="1">
        <v>10</v>
      </c>
      <c r="F514" s="5"/>
      <c r="G514" s="1" t="str">
        <f>IF(OR(ISERROR(SEARCH("recipiente",A514))=FALSE, ISERROR(SEARCH("serbatoio",A514))=FALSE, ISERROR(SEARCH("scambiatore",A514))=FALSE),
    IF(D514*E514&gt;3000,"IV",
        IF(D514*E514&gt;1000,"III",
            IF(D514*E514&gt;200,"II",
                IF(D514*E514&gt;50,"I","")
            )
        )
    ),
    IF(ISERROR(SEARCH("valvola di sicurezza",A514))=FALSE,"IV","")
)</f>
        <v/>
      </c>
    </row>
    <row r="515" spans="1:7" x14ac:dyDescent="0.3">
      <c r="A515" t="s">
        <v>415</v>
      </c>
      <c r="B515" t="s">
        <v>377</v>
      </c>
      <c r="C515" s="2" t="s">
        <v>423</v>
      </c>
      <c r="D515" s="1">
        <v>313</v>
      </c>
      <c r="E515" s="1">
        <v>7.5</v>
      </c>
      <c r="F515" s="5"/>
      <c r="G515" s="1" t="str">
        <f>IF(OR(ISERROR(SEARCH("recipiente",A515))=FALSE, ISERROR(SEARCH("serbatoio",A515))=FALSE, ISERROR(SEARCH("scambiatore",A515))=FALSE),
    IF(D515*E515&gt;3000,"IV",
        IF(D515*E515&gt;1000,"III",
            IF(D515*E515&gt;200,"II",
                IF(D515*E515&gt;50,"I","")
            )
        )
    ),
    IF(ISERROR(SEARCH("valvola di sicurezza",A515))=FALSE,"IV","")
)</f>
        <v/>
      </c>
    </row>
    <row r="516" spans="1:7" x14ac:dyDescent="0.3">
      <c r="A516" t="s">
        <v>415</v>
      </c>
      <c r="B516" t="s">
        <v>377</v>
      </c>
      <c r="C516" s="2" t="s">
        <v>424</v>
      </c>
      <c r="D516" s="1">
        <v>329</v>
      </c>
      <c r="E516" s="1">
        <v>10</v>
      </c>
      <c r="F516" s="5"/>
      <c r="G516" s="1" t="str">
        <f>IF(OR(ISERROR(SEARCH("recipiente",A516))=FALSE, ISERROR(SEARCH("serbatoio",A516))=FALSE, ISERROR(SEARCH("scambiatore",A516))=FALSE),
    IF(D516*E516&gt;3000,"IV",
        IF(D516*E516&gt;1000,"III",
            IF(D516*E516&gt;200,"II",
                IF(D516*E516&gt;50,"I","")
            )
        )
    ),
    IF(ISERROR(SEARCH("valvola di sicurezza",A516))=FALSE,"IV","")
)</f>
        <v/>
      </c>
    </row>
    <row r="517" spans="1:7" x14ac:dyDescent="0.3">
      <c r="A517" t="s">
        <v>415</v>
      </c>
      <c r="B517" t="s">
        <v>377</v>
      </c>
      <c r="C517" s="2" t="s">
        <v>425</v>
      </c>
      <c r="D517" s="1">
        <v>424</v>
      </c>
      <c r="E517" s="1">
        <v>7.5</v>
      </c>
      <c r="F517" s="5"/>
      <c r="G517" s="1" t="str">
        <f>IF(OR(ISERROR(SEARCH("recipiente",A517))=FALSE, ISERROR(SEARCH("serbatoio",A517))=FALSE, ISERROR(SEARCH("scambiatore",A517))=FALSE),
    IF(D517*E517&gt;3000,"IV",
        IF(D517*E517&gt;1000,"III",
            IF(D517*E517&gt;200,"II",
                IF(D517*E517&gt;50,"I","")
            )
        )
    ),
    IF(ISERROR(SEARCH("valvola di sicurezza",A517))=FALSE,"IV","")
)</f>
        <v/>
      </c>
    </row>
    <row r="518" spans="1:7" x14ac:dyDescent="0.3">
      <c r="A518" t="s">
        <v>415</v>
      </c>
      <c r="B518" t="s">
        <v>377</v>
      </c>
      <c r="C518" s="2" t="s">
        <v>426</v>
      </c>
      <c r="D518" s="1">
        <v>466</v>
      </c>
      <c r="E518" s="1">
        <v>10</v>
      </c>
      <c r="F518" s="5"/>
      <c r="G518" s="1" t="str">
        <f>IF(OR(ISERROR(SEARCH("recipiente",A518))=FALSE, ISERROR(SEARCH("serbatoio",A518))=FALSE, ISERROR(SEARCH("scambiatore",A518))=FALSE),
    IF(D518*E518&gt;3000,"IV",
        IF(D518*E518&gt;1000,"III",
            IF(D518*E518&gt;200,"II",
                IF(D518*E518&gt;50,"I","")
            )
        )
    ),
    IF(ISERROR(SEARCH("valvola di sicurezza",A518))=FALSE,"IV","")
)</f>
        <v/>
      </c>
    </row>
    <row r="519" spans="1:7" x14ac:dyDescent="0.3">
      <c r="A519" t="s">
        <v>415</v>
      </c>
      <c r="B519" t="s">
        <v>377</v>
      </c>
      <c r="C519" s="2" t="s">
        <v>427</v>
      </c>
      <c r="D519" s="1">
        <v>360</v>
      </c>
      <c r="E519" s="1">
        <v>13</v>
      </c>
      <c r="F519" s="5"/>
      <c r="G519" s="1" t="str">
        <f>IF(OR(ISERROR(SEARCH("recipiente",A519))=FALSE, ISERROR(SEARCH("serbatoio",A519))=FALSE, ISERROR(SEARCH("scambiatore",A519))=FALSE),
    IF(D519*E519&gt;3000,"IV",
        IF(D519*E519&gt;1000,"III",
            IF(D519*E519&gt;200,"II",
                IF(D519*E519&gt;50,"I","")
            )
        )
    ),
    IF(ISERROR(SEARCH("valvola di sicurezza",A519))=FALSE,"IV","")
)</f>
        <v/>
      </c>
    </row>
    <row r="520" spans="1:7" x14ac:dyDescent="0.3">
      <c r="A520" t="s">
        <v>415</v>
      </c>
      <c r="B520" t="s">
        <v>377</v>
      </c>
      <c r="C520" s="2" t="s">
        <v>428</v>
      </c>
      <c r="D520" s="1">
        <v>583</v>
      </c>
      <c r="E520" s="1">
        <v>7.5</v>
      </c>
      <c r="F520" s="5"/>
      <c r="G520" s="1" t="str">
        <f>IF(OR(ISERROR(SEARCH("recipiente",A520))=FALSE, ISERROR(SEARCH("serbatoio",A520))=FALSE, ISERROR(SEARCH("scambiatore",A520))=FALSE),
    IF(D520*E520&gt;3000,"IV",
        IF(D520*E520&gt;1000,"III",
            IF(D520*E520&gt;200,"II",
                IF(D520*E520&gt;50,"I","")
            )
        )
    ),
    IF(ISERROR(SEARCH("valvola di sicurezza",A520))=FALSE,"IV","")
)</f>
        <v/>
      </c>
    </row>
    <row r="521" spans="1:7" x14ac:dyDescent="0.3">
      <c r="A521" t="s">
        <v>415</v>
      </c>
      <c r="B521" t="s">
        <v>377</v>
      </c>
      <c r="C521" s="2" t="s">
        <v>429</v>
      </c>
      <c r="D521" s="1">
        <v>684</v>
      </c>
      <c r="E521" s="1">
        <v>10</v>
      </c>
      <c r="F521" s="5"/>
      <c r="G521" s="1" t="str">
        <f>IF(OR(ISERROR(SEARCH("recipiente",A521))=FALSE, ISERROR(SEARCH("serbatoio",A521))=FALSE, ISERROR(SEARCH("scambiatore",A521))=FALSE),
    IF(D521*E521&gt;3000,"IV",
        IF(D521*E521&gt;1000,"III",
            IF(D521*E521&gt;200,"II",
                IF(D521*E521&gt;50,"I","")
            )
        )
    ),
    IF(ISERROR(SEARCH("valvola di sicurezza",A521))=FALSE,"IV","")
)</f>
        <v/>
      </c>
    </row>
    <row r="522" spans="1:7" x14ac:dyDescent="0.3">
      <c r="A522" t="s">
        <v>415</v>
      </c>
      <c r="B522" t="s">
        <v>377</v>
      </c>
      <c r="C522" s="2" t="s">
        <v>430</v>
      </c>
      <c r="D522" s="1">
        <v>551</v>
      </c>
      <c r="E522" s="1">
        <v>13</v>
      </c>
      <c r="F522" s="5"/>
      <c r="G522" s="1" t="str">
        <f>IF(OR(ISERROR(SEARCH("recipiente",A522))=FALSE, ISERROR(SEARCH("serbatoio",A522))=FALSE, ISERROR(SEARCH("scambiatore",A522))=FALSE),
    IF(D522*E522&gt;3000,"IV",
        IF(D522*E522&gt;1000,"III",
            IF(D522*E522&gt;200,"II",
                IF(D522*E522&gt;50,"I","")
            )
        )
    ),
    IF(ISERROR(SEARCH("valvola di sicurezza",A522))=FALSE,"IV","")
)</f>
        <v/>
      </c>
    </row>
    <row r="523" spans="1:7" x14ac:dyDescent="0.3">
      <c r="A523" t="s">
        <v>415</v>
      </c>
      <c r="B523" t="s">
        <v>377</v>
      </c>
      <c r="C523" s="2" t="s">
        <v>431</v>
      </c>
      <c r="D523" s="1">
        <v>816</v>
      </c>
      <c r="E523" s="1">
        <v>7.5</v>
      </c>
      <c r="F523" s="5"/>
      <c r="G523" s="1" t="str">
        <f>IF(OR(ISERROR(SEARCH("recipiente",A523))=FALSE, ISERROR(SEARCH("serbatoio",A523))=FALSE, ISERROR(SEARCH("scambiatore",A523))=FALSE),
    IF(D523*E523&gt;3000,"IV",
        IF(D523*E523&gt;1000,"III",
            IF(D523*E523&gt;200,"II",
                IF(D523*E523&gt;50,"I","")
            )
        )
    ),
    IF(ISERROR(SEARCH("valvola di sicurezza",A523))=FALSE,"IV","")
)</f>
        <v/>
      </c>
    </row>
    <row r="524" spans="1:7" x14ac:dyDescent="0.3">
      <c r="A524" t="s">
        <v>65</v>
      </c>
      <c r="B524" t="s">
        <v>377</v>
      </c>
      <c r="C524" s="2" t="s">
        <v>432</v>
      </c>
      <c r="D524" s="1">
        <v>1500</v>
      </c>
      <c r="E524" s="1">
        <v>8</v>
      </c>
      <c r="F524" s="5"/>
      <c r="G524" s="1" t="str">
        <f>IF(OR(ISERROR(SEARCH("recipiente",A524))=FALSE, ISERROR(SEARCH("serbatoio",A524))=FALSE, ISERROR(SEARCH("scambiatore",A524))=FALSE),
    IF(D524*E524&gt;3000,"IV",
        IF(D524*E524&gt;1000,"III",
            IF(D524*E524&gt;200,"II",
                IF(D524*E524&gt;50,"I","")
            )
        )
    ),
    IF(ISERROR(SEARCH("valvola di sicurezza",A524))=FALSE,"IV","")
)</f>
        <v/>
      </c>
    </row>
    <row r="525" spans="1:7" x14ac:dyDescent="0.3">
      <c r="A525" t="s">
        <v>65</v>
      </c>
      <c r="B525" t="s">
        <v>377</v>
      </c>
      <c r="C525" s="2" t="s">
        <v>433</v>
      </c>
      <c r="D525" s="1">
        <v>990</v>
      </c>
      <c r="E525" s="1">
        <v>15</v>
      </c>
      <c r="F525" s="5"/>
      <c r="G525" s="1" t="str">
        <f>IF(OR(ISERROR(SEARCH("recipiente",A525))=FALSE, ISERROR(SEARCH("serbatoio",A525))=FALSE, ISERROR(SEARCH("scambiatore",A525))=FALSE),
    IF(D525*E525&gt;3000,"IV",
        IF(D525*E525&gt;1000,"III",
            IF(D525*E525&gt;200,"II",
                IF(D525*E525&gt;50,"I","")
            )
        )
    ),
    IF(ISERROR(SEARCH("valvola di sicurezza",A525))=FALSE,"IV","")
)</f>
        <v/>
      </c>
    </row>
    <row r="526" spans="1:7" x14ac:dyDescent="0.3">
      <c r="A526" t="s">
        <v>65</v>
      </c>
      <c r="B526" t="s">
        <v>377</v>
      </c>
      <c r="C526" s="2" t="s">
        <v>434</v>
      </c>
      <c r="D526" s="1">
        <v>1260</v>
      </c>
      <c r="E526" s="1">
        <v>11</v>
      </c>
      <c r="F526" s="5"/>
      <c r="G526" s="1" t="str">
        <f>IF(OR(ISERROR(SEARCH("recipiente",A526))=FALSE, ISERROR(SEARCH("serbatoio",A526))=FALSE, ISERROR(SEARCH("scambiatore",A526))=FALSE),
    IF(D526*E526&gt;3000,"IV",
        IF(D526*E526&gt;1000,"III",
            IF(D526*E526&gt;200,"II",
                IF(D526*E526&gt;50,"I","")
            )
        )
    ),
    IF(ISERROR(SEARCH("valvola di sicurezza",A526))=FALSE,"IV","")
)</f>
        <v/>
      </c>
    </row>
    <row r="527" spans="1:7" x14ac:dyDescent="0.3">
      <c r="A527" t="s">
        <v>65</v>
      </c>
      <c r="B527" t="s">
        <v>377</v>
      </c>
      <c r="C527" s="2" t="s">
        <v>435</v>
      </c>
      <c r="D527" s="1">
        <v>1500</v>
      </c>
      <c r="E527" s="1">
        <v>8</v>
      </c>
      <c r="F527" s="5"/>
      <c r="G527" s="1" t="str">
        <f>IF(OR(ISERROR(SEARCH("recipiente",A527))=FALSE, ISERROR(SEARCH("serbatoio",A527))=FALSE, ISERROR(SEARCH("scambiatore",A527))=FALSE),
    IF(D527*E527&gt;3000,"IV",
        IF(D527*E527&gt;1000,"III",
            IF(D527*E527&gt;200,"II",
                IF(D527*E527&gt;50,"I","")
            )
        )
    ),
    IF(ISERROR(SEARCH("valvola di sicurezza",A527))=FALSE,"IV","")
)</f>
        <v/>
      </c>
    </row>
    <row r="528" spans="1:7" x14ac:dyDescent="0.3">
      <c r="A528" t="s">
        <v>65</v>
      </c>
      <c r="B528" t="s">
        <v>377</v>
      </c>
      <c r="C528" s="2" t="s">
        <v>436</v>
      </c>
      <c r="D528" s="1">
        <v>990</v>
      </c>
      <c r="E528" s="1">
        <v>15</v>
      </c>
      <c r="F528" s="5"/>
      <c r="G528" s="1" t="str">
        <f>IF(OR(ISERROR(SEARCH("recipiente",A528))=FALSE, ISERROR(SEARCH("serbatoio",A528))=FALSE, ISERROR(SEARCH("scambiatore",A528))=FALSE),
    IF(D528*E528&gt;3000,"IV",
        IF(D528*E528&gt;1000,"III",
            IF(D528*E528&gt;200,"II",
                IF(D528*E528&gt;50,"I","")
            )
        )
    ),
    IF(ISERROR(SEARCH("valvola di sicurezza",A528))=FALSE,"IV","")
)</f>
        <v/>
      </c>
    </row>
    <row r="529" spans="1:7" x14ac:dyDescent="0.3">
      <c r="A529" t="s">
        <v>65</v>
      </c>
      <c r="B529" t="s">
        <v>377</v>
      </c>
      <c r="C529" s="2" t="s">
        <v>437</v>
      </c>
      <c r="D529" s="1">
        <v>1260</v>
      </c>
      <c r="E529" s="1">
        <v>11</v>
      </c>
      <c r="F529" s="5"/>
      <c r="G529" s="1" t="str">
        <f>IF(OR(ISERROR(SEARCH("recipiente",A529))=FALSE, ISERROR(SEARCH("serbatoio",A529))=FALSE, ISERROR(SEARCH("scambiatore",A529))=FALSE),
    IF(D529*E529&gt;3000,"IV",
        IF(D529*E529&gt;1000,"III",
            IF(D529*E529&gt;200,"II",
                IF(D529*E529&gt;50,"I","")
            )
        )
    ),
    IF(ISERROR(SEARCH("valvola di sicurezza",A529))=FALSE,"IV","")
)</f>
        <v/>
      </c>
    </row>
    <row r="530" spans="1:7" x14ac:dyDescent="0.3">
      <c r="A530" t="s">
        <v>65</v>
      </c>
      <c r="B530" t="s">
        <v>377</v>
      </c>
      <c r="C530" s="2" t="s">
        <v>438</v>
      </c>
      <c r="D530" s="1">
        <v>1400</v>
      </c>
      <c r="E530" s="1">
        <v>8</v>
      </c>
      <c r="F530" s="5"/>
      <c r="G530" s="1" t="str">
        <f>IF(OR(ISERROR(SEARCH("recipiente",A530))=FALSE, ISERROR(SEARCH("serbatoio",A530))=FALSE, ISERROR(SEARCH("scambiatore",A530))=FALSE),
    IF(D530*E530&gt;3000,"IV",
        IF(D530*E530&gt;1000,"III",
            IF(D530*E530&gt;200,"II",
                IF(D530*E530&gt;50,"I","")
            )
        )
    ),
    IF(ISERROR(SEARCH("valvola di sicurezza",A530))=FALSE,"IV","")
)</f>
        <v/>
      </c>
    </row>
    <row r="531" spans="1:7" x14ac:dyDescent="0.3">
      <c r="A531" t="s">
        <v>65</v>
      </c>
      <c r="B531" t="s">
        <v>377</v>
      </c>
      <c r="C531" s="2" t="s">
        <v>439</v>
      </c>
      <c r="D531" s="1">
        <v>950</v>
      </c>
      <c r="E531" s="1">
        <v>15</v>
      </c>
      <c r="F531" s="5"/>
      <c r="G531" s="1" t="str">
        <f>IF(OR(ISERROR(SEARCH("recipiente",A531))=FALSE, ISERROR(SEARCH("serbatoio",A531))=FALSE, ISERROR(SEARCH("scambiatore",A531))=FALSE),
    IF(D531*E531&gt;3000,"IV",
        IF(D531*E531&gt;1000,"III",
            IF(D531*E531&gt;200,"II",
                IF(D531*E531&gt;50,"I","")
            )
        )
    ),
    IF(ISERROR(SEARCH("valvola di sicurezza",A531))=FALSE,"IV","")
)</f>
        <v/>
      </c>
    </row>
    <row r="532" spans="1:7" x14ac:dyDescent="0.3">
      <c r="A532" t="s">
        <v>65</v>
      </c>
      <c r="B532" t="s">
        <v>377</v>
      </c>
      <c r="C532" s="2" t="s">
        <v>440</v>
      </c>
      <c r="D532" s="1">
        <v>1190</v>
      </c>
      <c r="E532" s="1">
        <v>11</v>
      </c>
      <c r="F532" s="5"/>
      <c r="G532" s="1" t="str">
        <f>IF(OR(ISERROR(SEARCH("recipiente",A532))=FALSE, ISERROR(SEARCH("serbatoio",A532))=FALSE, ISERROR(SEARCH("scambiatore",A532))=FALSE),
    IF(D532*E532&gt;3000,"IV",
        IF(D532*E532&gt;1000,"III",
            IF(D532*E532&gt;200,"II",
                IF(D532*E532&gt;50,"I","")
            )
        )
    ),
    IF(ISERROR(SEARCH("valvola di sicurezza",A532))=FALSE,"IV","")
)</f>
        <v/>
      </c>
    </row>
    <row r="533" spans="1:7" x14ac:dyDescent="0.3">
      <c r="A533" t="s">
        <v>65</v>
      </c>
      <c r="B533" t="s">
        <v>377</v>
      </c>
      <c r="C533" s="2" t="s">
        <v>441</v>
      </c>
      <c r="D533" s="1">
        <v>1320</v>
      </c>
      <c r="E533" s="1">
        <v>8</v>
      </c>
      <c r="F533" s="5"/>
      <c r="G533" s="1" t="str">
        <f>IF(OR(ISERROR(SEARCH("recipiente",A533))=FALSE, ISERROR(SEARCH("serbatoio",A533))=FALSE, ISERROR(SEARCH("scambiatore",A533))=FALSE),
    IF(D533*E533&gt;3000,"IV",
        IF(D533*E533&gt;1000,"III",
            IF(D533*E533&gt;200,"II",
                IF(D533*E533&gt;50,"I","")
            )
        )
    ),
    IF(ISERROR(SEARCH("valvola di sicurezza",A533))=FALSE,"IV","")
)</f>
        <v/>
      </c>
    </row>
    <row r="534" spans="1:7" x14ac:dyDescent="0.3">
      <c r="A534" t="s">
        <v>65</v>
      </c>
      <c r="B534" t="s">
        <v>377</v>
      </c>
      <c r="C534" s="2" t="s">
        <v>442</v>
      </c>
      <c r="D534" s="1">
        <v>850</v>
      </c>
      <c r="E534" s="1">
        <v>15</v>
      </c>
      <c r="F534" s="5"/>
      <c r="G534" s="1" t="str">
        <f>IF(OR(ISERROR(SEARCH("recipiente",A534))=FALSE, ISERROR(SEARCH("serbatoio",A534))=FALSE, ISERROR(SEARCH("scambiatore",A534))=FALSE),
    IF(D534*E534&gt;3000,"IV",
        IF(D534*E534&gt;1000,"III",
            IF(D534*E534&gt;200,"II",
                IF(D534*E534&gt;50,"I","")
            )
        )
    ),
    IF(ISERROR(SEARCH("valvola di sicurezza",A534))=FALSE,"IV","")
)</f>
        <v/>
      </c>
    </row>
    <row r="535" spans="1:7" x14ac:dyDescent="0.3">
      <c r="A535" t="s">
        <v>65</v>
      </c>
      <c r="B535" t="s">
        <v>377</v>
      </c>
      <c r="C535" s="2" t="s">
        <v>443</v>
      </c>
      <c r="D535" s="1">
        <v>1080</v>
      </c>
      <c r="E535" s="1">
        <v>11</v>
      </c>
      <c r="F535" s="5"/>
      <c r="G535" s="1" t="str">
        <f>IF(OR(ISERROR(SEARCH("recipiente",A535))=FALSE, ISERROR(SEARCH("serbatoio",A535))=FALSE, ISERROR(SEARCH("scambiatore",A535))=FALSE),
    IF(D535*E535&gt;3000,"IV",
        IF(D535*E535&gt;1000,"III",
            IF(D535*E535&gt;200,"II",
                IF(D535*E535&gt;50,"I","")
            )
        )
    ),
    IF(ISERROR(SEARCH("valvola di sicurezza",A535))=FALSE,"IV","")
)</f>
        <v/>
      </c>
    </row>
    <row r="536" spans="1:7" x14ac:dyDescent="0.3">
      <c r="A536" t="s">
        <v>65</v>
      </c>
      <c r="B536" t="s">
        <v>377</v>
      </c>
      <c r="C536" s="2" t="s">
        <v>444</v>
      </c>
      <c r="D536" s="1">
        <v>1400</v>
      </c>
      <c r="E536" s="1">
        <v>8</v>
      </c>
      <c r="F536" s="5"/>
      <c r="G536" s="1" t="str">
        <f>IF(OR(ISERROR(SEARCH("recipiente",A536))=FALSE, ISERROR(SEARCH("serbatoio",A536))=FALSE, ISERROR(SEARCH("scambiatore",A536))=FALSE),
    IF(D536*E536&gt;3000,"IV",
        IF(D536*E536&gt;1000,"III",
            IF(D536*E536&gt;200,"II",
                IF(D536*E536&gt;50,"I","")
            )
        )
    ),
    IF(ISERROR(SEARCH("valvola di sicurezza",A536))=FALSE,"IV","")
)</f>
        <v/>
      </c>
    </row>
    <row r="537" spans="1:7" x14ac:dyDescent="0.3">
      <c r="A537" t="s">
        <v>65</v>
      </c>
      <c r="B537" t="s">
        <v>377</v>
      </c>
      <c r="C537" s="2" t="s">
        <v>445</v>
      </c>
      <c r="D537" s="1">
        <v>950</v>
      </c>
      <c r="E537" s="1">
        <v>15</v>
      </c>
      <c r="F537" s="5"/>
      <c r="G537" s="1" t="str">
        <f>IF(OR(ISERROR(SEARCH("recipiente",A537))=FALSE, ISERROR(SEARCH("serbatoio",A537))=FALSE, ISERROR(SEARCH("scambiatore",A537))=FALSE),
    IF(D537*E537&gt;3000,"IV",
        IF(D537*E537&gt;1000,"III",
            IF(D537*E537&gt;200,"II",
                IF(D537*E537&gt;50,"I","")
            )
        )
    ),
    IF(ISERROR(SEARCH("valvola di sicurezza",A537))=FALSE,"IV","")
)</f>
        <v/>
      </c>
    </row>
    <row r="538" spans="1:7" x14ac:dyDescent="0.3">
      <c r="A538" t="s">
        <v>65</v>
      </c>
      <c r="B538" t="s">
        <v>377</v>
      </c>
      <c r="C538" s="2" t="s">
        <v>446</v>
      </c>
      <c r="D538" s="1">
        <v>1190</v>
      </c>
      <c r="E538" s="1">
        <v>11</v>
      </c>
      <c r="F538" s="5"/>
      <c r="G538" s="1" t="str">
        <f>IF(OR(ISERROR(SEARCH("recipiente",A538))=FALSE, ISERROR(SEARCH("serbatoio",A538))=FALSE, ISERROR(SEARCH("scambiatore",A538))=FALSE),
    IF(D538*E538&gt;3000,"IV",
        IF(D538*E538&gt;1000,"III",
            IF(D538*E538&gt;200,"II",
                IF(D538*E538&gt;50,"I","")
            )
        )
    ),
    IF(ISERROR(SEARCH("valvola di sicurezza",A538))=FALSE,"IV","")
)</f>
        <v/>
      </c>
    </row>
    <row r="539" spans="1:7" x14ac:dyDescent="0.3">
      <c r="A539" t="s">
        <v>65</v>
      </c>
      <c r="B539" t="s">
        <v>377</v>
      </c>
      <c r="C539" s="2" t="s">
        <v>447</v>
      </c>
      <c r="D539" s="1">
        <v>1320</v>
      </c>
      <c r="E539" s="1">
        <v>8</v>
      </c>
      <c r="F539" s="5"/>
      <c r="G539" s="1" t="str">
        <f>IF(OR(ISERROR(SEARCH("recipiente",A539))=FALSE, ISERROR(SEARCH("serbatoio",A539))=FALSE, ISERROR(SEARCH("scambiatore",A539))=FALSE),
    IF(D539*E539&gt;3000,"IV",
        IF(D539*E539&gt;1000,"III",
            IF(D539*E539&gt;200,"II",
                IF(D539*E539&gt;50,"I","")
            )
        )
    ),
    IF(ISERROR(SEARCH("valvola di sicurezza",A539))=FALSE,"IV","")
)</f>
        <v/>
      </c>
    </row>
    <row r="540" spans="1:7" x14ac:dyDescent="0.3">
      <c r="A540" t="s">
        <v>65</v>
      </c>
      <c r="B540" t="s">
        <v>377</v>
      </c>
      <c r="C540" s="2" t="s">
        <v>448</v>
      </c>
      <c r="D540" s="1">
        <v>850</v>
      </c>
      <c r="E540" s="1">
        <v>15</v>
      </c>
      <c r="F540" s="5"/>
      <c r="G540" s="1" t="str">
        <f>IF(OR(ISERROR(SEARCH("recipiente",A540))=FALSE, ISERROR(SEARCH("serbatoio",A540))=FALSE, ISERROR(SEARCH("scambiatore",A540))=FALSE),
    IF(D540*E540&gt;3000,"IV",
        IF(D540*E540&gt;1000,"III",
            IF(D540*E540&gt;200,"II",
                IF(D540*E540&gt;50,"I","")
            )
        )
    ),
    IF(ISERROR(SEARCH("valvola di sicurezza",A540))=FALSE,"IV","")
)</f>
        <v/>
      </c>
    </row>
    <row r="541" spans="1:7" x14ac:dyDescent="0.3">
      <c r="A541" t="s">
        <v>65</v>
      </c>
      <c r="B541" t="s">
        <v>377</v>
      </c>
      <c r="C541" s="2" t="s">
        <v>449</v>
      </c>
      <c r="D541" s="1">
        <v>1080</v>
      </c>
      <c r="E541" s="1">
        <v>11</v>
      </c>
      <c r="F541" s="5"/>
      <c r="G541" s="1" t="str">
        <f>IF(OR(ISERROR(SEARCH("recipiente",A541))=FALSE, ISERROR(SEARCH("serbatoio",A541))=FALSE, ISERROR(SEARCH("scambiatore",A541))=FALSE),
    IF(D541*E541&gt;3000,"IV",
        IF(D541*E541&gt;1000,"III",
            IF(D541*E541&gt;200,"II",
                IF(D541*E541&gt;50,"I","")
            )
        )
    ),
    IF(ISERROR(SEARCH("valvola di sicurezza",A541))=FALSE,"IV","")
)</f>
        <v/>
      </c>
    </row>
    <row r="542" spans="1:7" x14ac:dyDescent="0.3">
      <c r="A542" t="s">
        <v>65</v>
      </c>
      <c r="B542" t="s">
        <v>377</v>
      </c>
      <c r="C542" s="2" t="s">
        <v>450</v>
      </c>
      <c r="D542" s="1">
        <v>1240</v>
      </c>
      <c r="E542" s="1">
        <v>8</v>
      </c>
      <c r="F542" s="5"/>
      <c r="G542" s="1" t="str">
        <f>IF(OR(ISERROR(SEARCH("recipiente",A542))=FALSE, ISERROR(SEARCH("serbatoio",A542))=FALSE, ISERROR(SEARCH("scambiatore",A542))=FALSE),
    IF(D542*E542&gt;3000,"IV",
        IF(D542*E542&gt;1000,"III",
            IF(D542*E542&gt;200,"II",
                IF(D542*E542&gt;50,"I","")
            )
        )
    ),
    IF(ISERROR(SEARCH("valvola di sicurezza",A542))=FALSE,"IV","")
)</f>
        <v/>
      </c>
    </row>
    <row r="543" spans="1:7" x14ac:dyDescent="0.3">
      <c r="A543" t="s">
        <v>65</v>
      </c>
      <c r="B543" t="s">
        <v>377</v>
      </c>
      <c r="C543" s="2" t="s">
        <v>451</v>
      </c>
      <c r="D543" s="1">
        <v>780</v>
      </c>
      <c r="E543" s="1">
        <v>15</v>
      </c>
      <c r="F543" s="5"/>
      <c r="G543" s="1" t="str">
        <f>IF(OR(ISERROR(SEARCH("recipiente",A543))=FALSE, ISERROR(SEARCH("serbatoio",A543))=FALSE, ISERROR(SEARCH("scambiatore",A543))=FALSE),
    IF(D543*E543&gt;3000,"IV",
        IF(D543*E543&gt;1000,"III",
            IF(D543*E543&gt;200,"II",
                IF(D543*E543&gt;50,"I","")
            )
        )
    ),
    IF(ISERROR(SEARCH("valvola di sicurezza",A543))=FALSE,"IV","")
)</f>
        <v/>
      </c>
    </row>
    <row r="544" spans="1:7" x14ac:dyDescent="0.3">
      <c r="A544" t="s">
        <v>65</v>
      </c>
      <c r="B544" t="s">
        <v>377</v>
      </c>
      <c r="C544" s="2" t="s">
        <v>452</v>
      </c>
      <c r="D544" s="1">
        <v>1040</v>
      </c>
      <c r="E544" s="1">
        <v>11</v>
      </c>
      <c r="F544" s="5"/>
      <c r="G544" s="1" t="str">
        <f>IF(OR(ISERROR(SEARCH("recipiente",A544))=FALSE, ISERROR(SEARCH("serbatoio",A544))=FALSE, ISERROR(SEARCH("scambiatore",A544))=FALSE),
    IF(D544*E544&gt;3000,"IV",
        IF(D544*E544&gt;1000,"III",
            IF(D544*E544&gt;200,"II",
                IF(D544*E544&gt;50,"I","")
            )
        )
    ),
    IF(ISERROR(SEARCH("valvola di sicurezza",A544))=FALSE,"IV","")
)</f>
        <v/>
      </c>
    </row>
    <row r="545" spans="1:7" x14ac:dyDescent="0.3">
      <c r="A545" t="s">
        <v>65</v>
      </c>
      <c r="B545" t="s">
        <v>377</v>
      </c>
      <c r="C545" s="2" t="s">
        <v>453</v>
      </c>
      <c r="D545" s="1">
        <v>1200</v>
      </c>
      <c r="E545" s="1">
        <v>8</v>
      </c>
      <c r="F545" s="5"/>
      <c r="G545" s="1" t="str">
        <f>IF(OR(ISERROR(SEARCH("recipiente",A545))=FALSE, ISERROR(SEARCH("serbatoio",A545))=FALSE, ISERROR(SEARCH("scambiatore",A545))=FALSE),
    IF(D545*E545&gt;3000,"IV",
        IF(D545*E545&gt;1000,"III",
            IF(D545*E545&gt;200,"II",
                IF(D545*E545&gt;50,"I","")
            )
        )
    ),
    IF(ISERROR(SEARCH("valvola di sicurezza",A545))=FALSE,"IV","")
)</f>
        <v/>
      </c>
    </row>
    <row r="546" spans="1:7" x14ac:dyDescent="0.3">
      <c r="A546" t="s">
        <v>65</v>
      </c>
      <c r="B546" t="s">
        <v>377</v>
      </c>
      <c r="C546" s="2" t="s">
        <v>454</v>
      </c>
      <c r="D546" s="1">
        <v>770</v>
      </c>
      <c r="E546" s="1">
        <v>15</v>
      </c>
      <c r="F546" s="5"/>
      <c r="G546" s="1" t="str">
        <f>IF(OR(ISERROR(SEARCH("recipiente",A546))=FALSE, ISERROR(SEARCH("serbatoio",A546))=FALSE, ISERROR(SEARCH("scambiatore",A546))=FALSE),
    IF(D546*E546&gt;3000,"IV",
        IF(D546*E546&gt;1000,"III",
            IF(D546*E546&gt;200,"II",
                IF(D546*E546&gt;50,"I","")
            )
        )
    ),
    IF(ISERROR(SEARCH("valvola di sicurezza",A546))=FALSE,"IV","")
)</f>
        <v/>
      </c>
    </row>
    <row r="547" spans="1:7" x14ac:dyDescent="0.3">
      <c r="A547" t="s">
        <v>65</v>
      </c>
      <c r="B547" t="s">
        <v>377</v>
      </c>
      <c r="C547" s="2" t="s">
        <v>455</v>
      </c>
      <c r="D547" s="1">
        <v>1010</v>
      </c>
      <c r="E547" s="1">
        <v>11</v>
      </c>
      <c r="F547" s="5"/>
      <c r="G547" s="1" t="str">
        <f>IF(OR(ISERROR(SEARCH("recipiente",A547))=FALSE, ISERROR(SEARCH("serbatoio",A547))=FALSE, ISERROR(SEARCH("scambiatore",A547))=FALSE),
    IF(D547*E547&gt;3000,"IV",
        IF(D547*E547&gt;1000,"III",
            IF(D547*E547&gt;200,"II",
                IF(D547*E547&gt;50,"I","")
            )
        )
    ),
    IF(ISERROR(SEARCH("valvola di sicurezza",A547))=FALSE,"IV","")
)</f>
        <v/>
      </c>
    </row>
    <row r="548" spans="1:7" x14ac:dyDescent="0.3">
      <c r="A548" t="s">
        <v>65</v>
      </c>
      <c r="B548" t="s">
        <v>377</v>
      </c>
      <c r="C548" s="2" t="s">
        <v>456</v>
      </c>
      <c r="D548" s="1">
        <v>1240</v>
      </c>
      <c r="E548" s="1">
        <v>8</v>
      </c>
      <c r="F548" s="5"/>
      <c r="G548" s="1" t="str">
        <f>IF(OR(ISERROR(SEARCH("recipiente",A548))=FALSE, ISERROR(SEARCH("serbatoio",A548))=FALSE, ISERROR(SEARCH("scambiatore",A548))=FALSE),
    IF(D548*E548&gt;3000,"IV",
        IF(D548*E548&gt;1000,"III",
            IF(D548*E548&gt;200,"II",
                IF(D548*E548&gt;50,"I","")
            )
        )
    ),
    IF(ISERROR(SEARCH("valvola di sicurezza",A548))=FALSE,"IV","")
)</f>
        <v/>
      </c>
    </row>
    <row r="549" spans="1:7" x14ac:dyDescent="0.3">
      <c r="A549" t="s">
        <v>65</v>
      </c>
      <c r="B549" t="s">
        <v>377</v>
      </c>
      <c r="C549" s="2" t="s">
        <v>457</v>
      </c>
      <c r="D549" s="1">
        <v>780</v>
      </c>
      <c r="E549" s="1">
        <v>15</v>
      </c>
      <c r="F549" s="5"/>
      <c r="G549" s="1" t="str">
        <f>IF(OR(ISERROR(SEARCH("recipiente",A549))=FALSE, ISERROR(SEARCH("serbatoio",A549))=FALSE, ISERROR(SEARCH("scambiatore",A549))=FALSE),
    IF(D549*E549&gt;3000,"IV",
        IF(D549*E549&gt;1000,"III",
            IF(D549*E549&gt;200,"II",
                IF(D549*E549&gt;50,"I","")
            )
        )
    ),
    IF(ISERROR(SEARCH("valvola di sicurezza",A549))=FALSE,"IV","")
)</f>
        <v/>
      </c>
    </row>
    <row r="550" spans="1:7" x14ac:dyDescent="0.3">
      <c r="A550" t="s">
        <v>65</v>
      </c>
      <c r="B550" t="s">
        <v>377</v>
      </c>
      <c r="C550" s="2" t="s">
        <v>458</v>
      </c>
      <c r="D550" s="1">
        <v>1040</v>
      </c>
      <c r="E550" s="1">
        <v>11</v>
      </c>
      <c r="F550" s="5"/>
      <c r="G550" s="1" t="str">
        <f>IF(OR(ISERROR(SEARCH("recipiente",A550))=FALSE, ISERROR(SEARCH("serbatoio",A550))=FALSE, ISERROR(SEARCH("scambiatore",A550))=FALSE),
    IF(D550*E550&gt;3000,"IV",
        IF(D550*E550&gt;1000,"III",
            IF(D550*E550&gt;200,"II",
                IF(D550*E550&gt;50,"I","")
            )
        )
    ),
    IF(ISERROR(SEARCH("valvola di sicurezza",A550))=FALSE,"IV","")
)</f>
        <v/>
      </c>
    </row>
    <row r="551" spans="1:7" x14ac:dyDescent="0.3">
      <c r="A551" t="s">
        <v>65</v>
      </c>
      <c r="B551" t="s">
        <v>377</v>
      </c>
      <c r="C551" s="2" t="s">
        <v>459</v>
      </c>
      <c r="D551" s="1">
        <v>1200</v>
      </c>
      <c r="E551" s="1">
        <v>8</v>
      </c>
      <c r="F551" s="5"/>
      <c r="G551" s="1" t="str">
        <f>IF(OR(ISERROR(SEARCH("recipiente",A551))=FALSE, ISERROR(SEARCH("serbatoio",A551))=FALSE, ISERROR(SEARCH("scambiatore",A551))=FALSE),
    IF(D551*E551&gt;3000,"IV",
        IF(D551*E551&gt;1000,"III",
            IF(D551*E551&gt;200,"II",
                IF(D551*E551&gt;50,"I","")
            )
        )
    ),
    IF(ISERROR(SEARCH("valvola di sicurezza",A551))=FALSE,"IV","")
)</f>
        <v/>
      </c>
    </row>
    <row r="552" spans="1:7" x14ac:dyDescent="0.3">
      <c r="A552" t="s">
        <v>65</v>
      </c>
      <c r="B552" t="s">
        <v>377</v>
      </c>
      <c r="C552" s="2" t="s">
        <v>460</v>
      </c>
      <c r="D552" s="1">
        <v>770</v>
      </c>
      <c r="E552" s="1">
        <v>15</v>
      </c>
      <c r="F552" s="5"/>
      <c r="G552" s="1" t="str">
        <f>IF(OR(ISERROR(SEARCH("recipiente",A552))=FALSE, ISERROR(SEARCH("serbatoio",A552))=FALSE, ISERROR(SEARCH("scambiatore",A552))=FALSE),
    IF(D552*E552&gt;3000,"IV",
        IF(D552*E552&gt;1000,"III",
            IF(D552*E552&gt;200,"II",
                IF(D552*E552&gt;50,"I","")
            )
        )
    ),
    IF(ISERROR(SEARCH("valvola di sicurezza",A552))=FALSE,"IV","")
)</f>
        <v/>
      </c>
    </row>
    <row r="553" spans="1:7" x14ac:dyDescent="0.3">
      <c r="A553" t="s">
        <v>65</v>
      </c>
      <c r="B553" t="s">
        <v>377</v>
      </c>
      <c r="C553" s="2" t="s">
        <v>461</v>
      </c>
      <c r="D553" s="1">
        <v>1010</v>
      </c>
      <c r="E553" s="1">
        <v>11</v>
      </c>
      <c r="F553" s="5"/>
      <c r="G553" s="1" t="str">
        <f>IF(OR(ISERROR(SEARCH("recipiente",A553))=FALSE, ISERROR(SEARCH("serbatoio",A553))=FALSE, ISERROR(SEARCH("scambiatore",A553))=FALSE),
    IF(D553*E553&gt;3000,"IV",
        IF(D553*E553&gt;1000,"III",
            IF(D553*E553&gt;200,"II",
                IF(D553*E553&gt;50,"I","")
            )
        )
    ),
    IF(ISERROR(SEARCH("valvola di sicurezza",A553))=FALSE,"IV","")
)</f>
        <v/>
      </c>
    </row>
    <row r="554" spans="1:7" x14ac:dyDescent="0.3">
      <c r="A554" t="s">
        <v>65</v>
      </c>
      <c r="B554" t="s">
        <v>377</v>
      </c>
      <c r="C554" s="2" t="s">
        <v>462</v>
      </c>
      <c r="D554" s="1">
        <v>1050</v>
      </c>
      <c r="E554" s="1">
        <v>8</v>
      </c>
      <c r="F554" s="5"/>
      <c r="G554" s="1" t="str">
        <f>IF(OR(ISERROR(SEARCH("recipiente",A554))=FALSE, ISERROR(SEARCH("serbatoio",A554))=FALSE, ISERROR(SEARCH("scambiatore",A554))=FALSE),
    IF(D554*E554&gt;3000,"IV",
        IF(D554*E554&gt;1000,"III",
            IF(D554*E554&gt;200,"II",
                IF(D554*E554&gt;50,"I","")
            )
        )
    ),
    IF(ISERROR(SEARCH("valvola di sicurezza",A554))=FALSE,"IV","")
)</f>
        <v/>
      </c>
    </row>
    <row r="555" spans="1:7" x14ac:dyDescent="0.3">
      <c r="A555" t="s">
        <v>65</v>
      </c>
      <c r="B555" t="s">
        <v>377</v>
      </c>
      <c r="C555" s="2" t="s">
        <v>463</v>
      </c>
      <c r="D555" s="1">
        <v>920</v>
      </c>
      <c r="E555" s="1">
        <v>11</v>
      </c>
      <c r="F555" s="5"/>
      <c r="G555" s="1" t="str">
        <f>IF(OR(ISERROR(SEARCH("recipiente",A555))=FALSE, ISERROR(SEARCH("serbatoio",A555))=FALSE, ISERROR(SEARCH("scambiatore",A555))=FALSE),
    IF(D555*E555&gt;3000,"IV",
        IF(D555*E555&gt;1000,"III",
            IF(D555*E555&gt;200,"II",
                IF(D555*E555&gt;50,"I","")
            )
        )
    ),
    IF(ISERROR(SEARCH("valvola di sicurezza",A555))=FALSE,"IV","")
)</f>
        <v/>
      </c>
    </row>
    <row r="556" spans="1:7" x14ac:dyDescent="0.3">
      <c r="A556" t="s">
        <v>65</v>
      </c>
      <c r="B556" t="s">
        <v>377</v>
      </c>
      <c r="C556" s="2" t="s">
        <v>464</v>
      </c>
      <c r="D556" s="1">
        <v>940</v>
      </c>
      <c r="E556" s="1">
        <v>8</v>
      </c>
      <c r="F556" s="5"/>
      <c r="G556" s="1" t="str">
        <f>IF(OR(ISERROR(SEARCH("recipiente",A556))=FALSE, ISERROR(SEARCH("serbatoio",A556))=FALSE, ISERROR(SEARCH("scambiatore",A556))=FALSE),
    IF(D556*E556&gt;3000,"IV",
        IF(D556*E556&gt;1000,"III",
            IF(D556*E556&gt;200,"II",
                IF(D556*E556&gt;50,"I","")
            )
        )
    ),
    IF(ISERROR(SEARCH("valvola di sicurezza",A556))=FALSE,"IV","")
)</f>
        <v/>
      </c>
    </row>
    <row r="557" spans="1:7" x14ac:dyDescent="0.3">
      <c r="A557" t="s">
        <v>65</v>
      </c>
      <c r="B557" t="s">
        <v>377</v>
      </c>
      <c r="C557" s="2" t="s">
        <v>465</v>
      </c>
      <c r="D557" s="1">
        <v>600</v>
      </c>
      <c r="E557" s="1">
        <v>15</v>
      </c>
      <c r="F557" s="5"/>
      <c r="G557" s="1" t="str">
        <f>IF(OR(ISERROR(SEARCH("recipiente",A557))=FALSE, ISERROR(SEARCH("serbatoio",A557))=FALSE, ISERROR(SEARCH("scambiatore",A557))=FALSE),
    IF(D557*E557&gt;3000,"IV",
        IF(D557*E557&gt;1000,"III",
            IF(D557*E557&gt;200,"II",
                IF(D557*E557&gt;50,"I","")
            )
        )
    ),
    IF(ISERROR(SEARCH("valvola di sicurezza",A557))=FALSE,"IV","")
)</f>
        <v/>
      </c>
    </row>
    <row r="558" spans="1:7" x14ac:dyDescent="0.3">
      <c r="A558" t="s">
        <v>65</v>
      </c>
      <c r="B558" t="s">
        <v>377</v>
      </c>
      <c r="C558" s="2" t="s">
        <v>466</v>
      </c>
      <c r="D558" s="1">
        <v>780</v>
      </c>
      <c r="E558" s="1">
        <v>11</v>
      </c>
      <c r="F558" s="5"/>
      <c r="G558" s="1" t="str">
        <f>IF(OR(ISERROR(SEARCH("recipiente",A558))=FALSE, ISERROR(SEARCH("serbatoio",A558))=FALSE, ISERROR(SEARCH("scambiatore",A558))=FALSE),
    IF(D558*E558&gt;3000,"IV",
        IF(D558*E558&gt;1000,"III",
            IF(D558*E558&gt;200,"II",
                IF(D558*E558&gt;50,"I","")
            )
        )
    ),
    IF(ISERROR(SEARCH("valvola di sicurezza",A558))=FALSE,"IV","")
)</f>
        <v/>
      </c>
    </row>
    <row r="559" spans="1:7" x14ac:dyDescent="0.3">
      <c r="A559" t="s">
        <v>65</v>
      </c>
      <c r="B559" t="s">
        <v>377</v>
      </c>
      <c r="C559" s="2" t="s">
        <v>467</v>
      </c>
      <c r="D559" s="1">
        <v>940</v>
      </c>
      <c r="E559" s="1">
        <v>8</v>
      </c>
      <c r="F559" s="5"/>
      <c r="G559" s="1" t="str">
        <f>IF(OR(ISERROR(SEARCH("recipiente",A559))=FALSE, ISERROR(SEARCH("serbatoio",A559))=FALSE, ISERROR(SEARCH("scambiatore",A559))=FALSE),
    IF(D559*E559&gt;3000,"IV",
        IF(D559*E559&gt;1000,"III",
            IF(D559*E559&gt;200,"II",
                IF(D559*E559&gt;50,"I","")
            )
        )
    ),
    IF(ISERROR(SEARCH("valvola di sicurezza",A559))=FALSE,"IV","")
)</f>
        <v/>
      </c>
    </row>
    <row r="560" spans="1:7" x14ac:dyDescent="0.3">
      <c r="A560" t="s">
        <v>65</v>
      </c>
      <c r="B560" t="s">
        <v>377</v>
      </c>
      <c r="C560" s="2" t="s">
        <v>468</v>
      </c>
      <c r="D560" s="1">
        <v>600</v>
      </c>
      <c r="E560" s="1">
        <v>15</v>
      </c>
      <c r="F560" s="5"/>
      <c r="G560" s="1" t="str">
        <f>IF(OR(ISERROR(SEARCH("recipiente",A560))=FALSE, ISERROR(SEARCH("serbatoio",A560))=FALSE, ISERROR(SEARCH("scambiatore",A560))=FALSE),
    IF(D560*E560&gt;3000,"IV",
        IF(D560*E560&gt;1000,"III",
            IF(D560*E560&gt;200,"II",
                IF(D560*E560&gt;50,"I","")
            )
        )
    ),
    IF(ISERROR(SEARCH("valvola di sicurezza",A560))=FALSE,"IV","")
)</f>
        <v/>
      </c>
    </row>
    <row r="561" spans="1:7" x14ac:dyDescent="0.3">
      <c r="A561" t="s">
        <v>65</v>
      </c>
      <c r="B561" t="s">
        <v>377</v>
      </c>
      <c r="C561" s="2" t="s">
        <v>469</v>
      </c>
      <c r="D561" s="1">
        <v>780</v>
      </c>
      <c r="E561" s="1">
        <v>11</v>
      </c>
      <c r="F561" s="5"/>
      <c r="G561" s="1" t="str">
        <f>IF(OR(ISERROR(SEARCH("recipiente",A561))=FALSE, ISERROR(SEARCH("serbatoio",A561))=FALSE, ISERROR(SEARCH("scambiatore",A561))=FALSE),
    IF(D561*E561&gt;3000,"IV",
        IF(D561*E561&gt;1000,"III",
            IF(D561*E561&gt;200,"II",
                IF(D561*E561&gt;50,"I","")
            )
        )
    ),
    IF(ISERROR(SEARCH("valvola di sicurezza",A561))=FALSE,"IV","")
)</f>
        <v/>
      </c>
    </row>
    <row r="562" spans="1:7" x14ac:dyDescent="0.3">
      <c r="A562" t="s">
        <v>65</v>
      </c>
      <c r="B562" t="s">
        <v>377</v>
      </c>
      <c r="C562" s="2" t="s">
        <v>470</v>
      </c>
      <c r="D562" s="1">
        <v>2550</v>
      </c>
      <c r="E562" s="1">
        <v>8</v>
      </c>
      <c r="F562" s="5"/>
      <c r="G562" s="1" t="str">
        <f>IF(OR(ISERROR(SEARCH("recipiente",A562))=FALSE, ISERROR(SEARCH("serbatoio",A562))=FALSE, ISERROR(SEARCH("scambiatore",A562))=FALSE),
    IF(D562*E562&gt;3000,"IV",
        IF(D562*E562&gt;1000,"III",
            IF(D562*E562&gt;200,"II",
                IF(D562*E562&gt;50,"I","")
            )
        )
    ),
    IF(ISERROR(SEARCH("valvola di sicurezza",A562))=FALSE,"IV","")
)</f>
        <v/>
      </c>
    </row>
    <row r="563" spans="1:7" x14ac:dyDescent="0.3">
      <c r="A563" t="s">
        <v>65</v>
      </c>
      <c r="B563" t="s">
        <v>377</v>
      </c>
      <c r="C563" s="2" t="s">
        <v>471</v>
      </c>
      <c r="D563" s="1">
        <v>2200</v>
      </c>
      <c r="E563" s="1">
        <v>11</v>
      </c>
      <c r="F563" s="5"/>
      <c r="G563" s="1" t="str">
        <f>IF(OR(ISERROR(SEARCH("recipiente",A563))=FALSE, ISERROR(SEARCH("serbatoio",A563))=FALSE, ISERROR(SEARCH("scambiatore",A563))=FALSE),
    IF(D563*E563&gt;3000,"IV",
        IF(D563*E563&gt;1000,"III",
            IF(D563*E563&gt;200,"II",
                IF(D563*E563&gt;50,"I","")
            )
        )
    ),
    IF(ISERROR(SEARCH("valvola di sicurezza",A563))=FALSE,"IV","")
)</f>
        <v/>
      </c>
    </row>
    <row r="564" spans="1:7" x14ac:dyDescent="0.3">
      <c r="A564" t="s">
        <v>65</v>
      </c>
      <c r="B564" t="s">
        <v>377</v>
      </c>
      <c r="C564" s="2" t="s">
        <v>472</v>
      </c>
      <c r="D564" s="1">
        <v>2550</v>
      </c>
      <c r="E564" s="1">
        <v>8</v>
      </c>
      <c r="F564" s="5"/>
      <c r="G564" s="1" t="str">
        <f>IF(OR(ISERROR(SEARCH("recipiente",A564))=FALSE, ISERROR(SEARCH("serbatoio",A564))=FALSE, ISERROR(SEARCH("scambiatore",A564))=FALSE),
    IF(D564*E564&gt;3000,"IV",
        IF(D564*E564&gt;1000,"III",
            IF(D564*E564&gt;200,"II",
                IF(D564*E564&gt;50,"I","")
            )
        )
    ),
    IF(ISERROR(SEARCH("valvola di sicurezza",A564))=FALSE,"IV","")
)</f>
        <v/>
      </c>
    </row>
    <row r="565" spans="1:7" x14ac:dyDescent="0.3">
      <c r="A565" t="s">
        <v>65</v>
      </c>
      <c r="B565" t="s">
        <v>377</v>
      </c>
      <c r="C565" s="2" t="s">
        <v>473</v>
      </c>
      <c r="D565" s="1">
        <v>1900</v>
      </c>
      <c r="E565" s="1">
        <v>15</v>
      </c>
      <c r="F565" s="5"/>
      <c r="G565" s="1" t="str">
        <f>IF(OR(ISERROR(SEARCH("recipiente",A565))=FALSE, ISERROR(SEARCH("serbatoio",A565))=FALSE, ISERROR(SEARCH("scambiatore",A565))=FALSE),
    IF(D565*E565&gt;3000,"IV",
        IF(D565*E565&gt;1000,"III",
            IF(D565*E565&gt;200,"II",
                IF(D565*E565&gt;50,"I","")
            )
        )
    ),
    IF(ISERROR(SEARCH("valvola di sicurezza",A565))=FALSE,"IV","")
)</f>
        <v/>
      </c>
    </row>
    <row r="566" spans="1:7" x14ac:dyDescent="0.3">
      <c r="A566" t="s">
        <v>65</v>
      </c>
      <c r="B566" t="s">
        <v>377</v>
      </c>
      <c r="C566" s="2" t="s">
        <v>474</v>
      </c>
      <c r="D566" s="1">
        <v>2250</v>
      </c>
      <c r="E566" s="1">
        <v>11</v>
      </c>
      <c r="F566" s="5"/>
      <c r="G566" s="1" t="str">
        <f>IF(OR(ISERROR(SEARCH("recipiente",A566))=FALSE, ISERROR(SEARCH("serbatoio",A566))=FALSE, ISERROR(SEARCH("scambiatore",A566))=FALSE),
    IF(D566*E566&gt;3000,"IV",
        IF(D566*E566&gt;1000,"III",
            IF(D566*E566&gt;200,"II",
                IF(D566*E566&gt;50,"I","")
            )
        )
    ),
    IF(ISERROR(SEARCH("valvola di sicurezza",A566))=FALSE,"IV","")
)</f>
        <v/>
      </c>
    </row>
    <row r="567" spans="1:7" x14ac:dyDescent="0.3">
      <c r="A567" t="s">
        <v>65</v>
      </c>
      <c r="B567" t="s">
        <v>377</v>
      </c>
      <c r="C567" s="2" t="s">
        <v>475</v>
      </c>
      <c r="D567" s="1">
        <v>2500</v>
      </c>
      <c r="E567" s="1">
        <v>8</v>
      </c>
      <c r="F567" s="5"/>
      <c r="G567" s="1" t="str">
        <f>IF(OR(ISERROR(SEARCH("recipiente",A567))=FALSE, ISERROR(SEARCH("serbatoio",A567))=FALSE, ISERROR(SEARCH("scambiatore",A567))=FALSE),
    IF(D567*E567&gt;3000,"IV",
        IF(D567*E567&gt;1000,"III",
            IF(D567*E567&gt;200,"II",
                IF(D567*E567&gt;50,"I","")
            )
        )
    ),
    IF(ISERROR(SEARCH("valvola di sicurezza",A567))=FALSE,"IV","")
)</f>
        <v/>
      </c>
    </row>
    <row r="568" spans="1:7" x14ac:dyDescent="0.3">
      <c r="A568" t="s">
        <v>65</v>
      </c>
      <c r="B568" t="s">
        <v>377</v>
      </c>
      <c r="C568" s="2" t="s">
        <v>476</v>
      </c>
      <c r="D568" s="1">
        <v>1720</v>
      </c>
      <c r="E568" s="1">
        <v>15</v>
      </c>
      <c r="F568" s="5"/>
      <c r="G568" s="1" t="str">
        <f>IF(OR(ISERROR(SEARCH("recipiente",A568))=FALSE, ISERROR(SEARCH("serbatoio",A568))=FALSE, ISERROR(SEARCH("scambiatore",A568))=FALSE),
    IF(D568*E568&gt;3000,"IV",
        IF(D568*E568&gt;1000,"III",
            IF(D568*E568&gt;200,"II",
                IF(D568*E568&gt;50,"I","")
            )
        )
    ),
    IF(ISERROR(SEARCH("valvola di sicurezza",A568))=FALSE,"IV","")
)</f>
        <v/>
      </c>
    </row>
    <row r="569" spans="1:7" x14ac:dyDescent="0.3">
      <c r="A569" t="s">
        <v>65</v>
      </c>
      <c r="B569" t="s">
        <v>377</v>
      </c>
      <c r="C569" s="2" t="s">
        <v>477</v>
      </c>
      <c r="D569" s="1">
        <v>2110</v>
      </c>
      <c r="E569" s="1">
        <v>11</v>
      </c>
      <c r="F569" s="5"/>
      <c r="G569" s="1" t="str">
        <f>IF(OR(ISERROR(SEARCH("recipiente",A569))=FALSE, ISERROR(SEARCH("serbatoio",A569))=FALSE, ISERROR(SEARCH("scambiatore",A569))=FALSE),
    IF(D569*E569&gt;3000,"IV",
        IF(D569*E569&gt;1000,"III",
            IF(D569*E569&gt;200,"II",
                IF(D569*E569&gt;50,"I","")
            )
        )
    ),
    IF(ISERROR(SEARCH("valvola di sicurezza",A569))=FALSE,"IV","")
)</f>
        <v/>
      </c>
    </row>
    <row r="570" spans="1:7" x14ac:dyDescent="0.3">
      <c r="A570" t="s">
        <v>65</v>
      </c>
      <c r="B570" t="s">
        <v>377</v>
      </c>
      <c r="C570" s="2" t="s">
        <v>478</v>
      </c>
      <c r="D570" s="1">
        <v>2430</v>
      </c>
      <c r="E570" s="1">
        <v>11</v>
      </c>
      <c r="F570" s="5"/>
      <c r="G570" s="1" t="str">
        <f>IF(OR(ISERROR(SEARCH("recipiente",A570))=FALSE, ISERROR(SEARCH("serbatoio",A570))=FALSE, ISERROR(SEARCH("scambiatore",A570))=FALSE),
    IF(D570*E570&gt;3000,"IV",
        IF(D570*E570&gt;1000,"III",
            IF(D570*E570&gt;200,"II",
                IF(D570*E570&gt;50,"I","")
            )
        )
    ),
    IF(ISERROR(SEARCH("valvola di sicurezza",A570))=FALSE,"IV","")
)</f>
        <v/>
      </c>
    </row>
    <row r="571" spans="1:7" x14ac:dyDescent="0.3">
      <c r="A571" t="s">
        <v>65</v>
      </c>
      <c r="B571" t="s">
        <v>377</v>
      </c>
      <c r="C571" s="2" t="s">
        <v>479</v>
      </c>
      <c r="D571" s="1">
        <v>2750</v>
      </c>
      <c r="E571" s="1">
        <v>8</v>
      </c>
      <c r="F571" s="5"/>
      <c r="G571" s="1" t="str">
        <f>IF(OR(ISERROR(SEARCH("recipiente",A571))=FALSE, ISERROR(SEARCH("serbatoio",A571))=FALSE, ISERROR(SEARCH("scambiatore",A571))=FALSE),
    IF(D571*E571&gt;3000,"IV",
        IF(D571*E571&gt;1000,"III",
            IF(D571*E571&gt;200,"II",
                IF(D571*E571&gt;50,"I","")
            )
        )
    ),
    IF(ISERROR(SEARCH("valvola di sicurezza",A571))=FALSE,"IV","")
)</f>
        <v/>
      </c>
    </row>
    <row r="572" spans="1:7" x14ac:dyDescent="0.3">
      <c r="A572" t="s">
        <v>65</v>
      </c>
      <c r="B572" t="s">
        <v>377</v>
      </c>
      <c r="C572" s="2" t="s">
        <v>480</v>
      </c>
      <c r="D572" s="1">
        <v>2000</v>
      </c>
      <c r="E572" s="1">
        <v>15</v>
      </c>
      <c r="F572" s="5"/>
      <c r="G572" s="1" t="str">
        <f>IF(OR(ISERROR(SEARCH("recipiente",A572))=FALSE, ISERROR(SEARCH("serbatoio",A572))=FALSE, ISERROR(SEARCH("scambiatore",A572))=FALSE),
    IF(D572*E572&gt;3000,"IV",
        IF(D572*E572&gt;1000,"III",
            IF(D572*E572&gt;200,"II",
                IF(D572*E572&gt;50,"I","")
            )
        )
    ),
    IF(ISERROR(SEARCH("valvola di sicurezza",A572))=FALSE,"IV","")
)</f>
        <v/>
      </c>
    </row>
    <row r="573" spans="1:7" x14ac:dyDescent="0.3">
      <c r="A573" t="s">
        <v>65</v>
      </c>
      <c r="B573" t="s">
        <v>377</v>
      </c>
      <c r="C573" s="2" t="s">
        <v>481</v>
      </c>
      <c r="D573" s="1">
        <v>2500</v>
      </c>
      <c r="E573" s="1">
        <v>8</v>
      </c>
      <c r="F573" s="5"/>
      <c r="G573" s="1" t="str">
        <f>IF(OR(ISERROR(SEARCH("recipiente",A573))=FALSE, ISERROR(SEARCH("serbatoio",A573))=FALSE, ISERROR(SEARCH("scambiatore",A573))=FALSE),
    IF(D573*E573&gt;3000,"IV",
        IF(D573*E573&gt;1000,"III",
            IF(D573*E573&gt;200,"II",
                IF(D573*E573&gt;50,"I","")
            )
        )
    ),
    IF(ISERROR(SEARCH("valvola di sicurezza",A573))=FALSE,"IV","")
)</f>
        <v/>
      </c>
    </row>
    <row r="574" spans="1:7" x14ac:dyDescent="0.3">
      <c r="A574" t="s">
        <v>65</v>
      </c>
      <c r="B574" t="s">
        <v>377</v>
      </c>
      <c r="C574" s="2" t="s">
        <v>482</v>
      </c>
      <c r="D574" s="1">
        <v>1720</v>
      </c>
      <c r="E574" s="1">
        <v>15</v>
      </c>
      <c r="F574" s="5"/>
      <c r="G574" s="1" t="str">
        <f>IF(OR(ISERROR(SEARCH("recipiente",A574))=FALSE, ISERROR(SEARCH("serbatoio",A574))=FALSE, ISERROR(SEARCH("scambiatore",A574))=FALSE),
    IF(D574*E574&gt;3000,"IV",
        IF(D574*E574&gt;1000,"III",
            IF(D574*E574&gt;200,"II",
                IF(D574*E574&gt;50,"I","")
            )
        )
    ),
    IF(ISERROR(SEARCH("valvola di sicurezza",A574))=FALSE,"IV","")
)</f>
        <v/>
      </c>
    </row>
    <row r="575" spans="1:7" x14ac:dyDescent="0.3">
      <c r="A575" t="s">
        <v>65</v>
      </c>
      <c r="B575" t="s">
        <v>377</v>
      </c>
      <c r="C575" s="2" t="s">
        <v>483</v>
      </c>
      <c r="D575" s="1">
        <v>2110</v>
      </c>
      <c r="E575" s="1">
        <v>11</v>
      </c>
      <c r="F575" s="5"/>
      <c r="G575" s="1" t="str">
        <f>IF(OR(ISERROR(SEARCH("recipiente",A575))=FALSE, ISERROR(SEARCH("serbatoio",A575))=FALSE, ISERROR(SEARCH("scambiatore",A575))=FALSE),
    IF(D575*E575&gt;3000,"IV",
        IF(D575*E575&gt;1000,"III",
            IF(D575*E575&gt;200,"II",
                IF(D575*E575&gt;50,"I","")
            )
        )
    ),
    IF(ISERROR(SEARCH("valvola di sicurezza",A575))=FALSE,"IV","")
)</f>
        <v/>
      </c>
    </row>
    <row r="576" spans="1:7" x14ac:dyDescent="0.3">
      <c r="A576" t="s">
        <v>65</v>
      </c>
      <c r="B576" t="s">
        <v>377</v>
      </c>
      <c r="C576" s="2" t="s">
        <v>484</v>
      </c>
      <c r="D576" s="1">
        <v>1950</v>
      </c>
      <c r="E576" s="1">
        <v>8</v>
      </c>
      <c r="F576" s="5"/>
      <c r="G576" s="1" t="str">
        <f>IF(OR(ISERROR(SEARCH("recipiente",A576))=FALSE, ISERROR(SEARCH("serbatoio",A576))=FALSE, ISERROR(SEARCH("scambiatore",A576))=FALSE),
    IF(D576*E576&gt;3000,"IV",
        IF(D576*E576&gt;1000,"III",
            IF(D576*E576&gt;200,"II",
                IF(D576*E576&gt;50,"I","")
            )
        )
    ),
    IF(ISERROR(SEARCH("valvola di sicurezza",A576))=FALSE,"IV","")
)</f>
        <v/>
      </c>
    </row>
    <row r="577" spans="1:7" x14ac:dyDescent="0.3">
      <c r="A577" t="s">
        <v>65</v>
      </c>
      <c r="B577" t="s">
        <v>377</v>
      </c>
      <c r="C577" s="2" t="s">
        <v>485</v>
      </c>
      <c r="D577" s="1">
        <v>1240</v>
      </c>
      <c r="E577" s="1">
        <v>15</v>
      </c>
      <c r="F577" s="5"/>
      <c r="G577" s="1" t="str">
        <f>IF(OR(ISERROR(SEARCH("recipiente",A577))=FALSE, ISERROR(SEARCH("serbatoio",A577))=FALSE, ISERROR(SEARCH("scambiatore",A577))=FALSE),
    IF(D577*E577&gt;3000,"IV",
        IF(D577*E577&gt;1000,"III",
            IF(D577*E577&gt;200,"II",
                IF(D577*E577&gt;50,"I","")
            )
        )
    ),
    IF(ISERROR(SEARCH("valvola di sicurezza",A577))=FALSE,"IV","")
)</f>
        <v/>
      </c>
    </row>
    <row r="578" spans="1:7" x14ac:dyDescent="0.3">
      <c r="A578" t="s">
        <v>65</v>
      </c>
      <c r="B578" t="s">
        <v>377</v>
      </c>
      <c r="C578" s="2" t="s">
        <v>486</v>
      </c>
      <c r="D578" s="1">
        <v>1610</v>
      </c>
      <c r="E578" s="1">
        <v>11</v>
      </c>
      <c r="F578" s="5"/>
      <c r="G578" s="1" t="str">
        <f>IF(OR(ISERROR(SEARCH("recipiente",A578))=FALSE, ISERROR(SEARCH("serbatoio",A578))=FALSE, ISERROR(SEARCH("scambiatore",A578))=FALSE),
    IF(D578*E578&gt;3000,"IV",
        IF(D578*E578&gt;1000,"III",
            IF(D578*E578&gt;200,"II",
                IF(D578*E578&gt;50,"I","")
            )
        )
    ),
    IF(ISERROR(SEARCH("valvola di sicurezza",A578))=FALSE,"IV","")
)</f>
        <v/>
      </c>
    </row>
    <row r="579" spans="1:7" x14ac:dyDescent="0.3">
      <c r="A579" t="s">
        <v>65</v>
      </c>
      <c r="B579" t="s">
        <v>377</v>
      </c>
      <c r="C579" s="2" t="s">
        <v>487</v>
      </c>
      <c r="D579" s="1">
        <v>2200</v>
      </c>
      <c r="E579" s="1">
        <v>8</v>
      </c>
      <c r="F579" s="5"/>
      <c r="G579" s="1" t="str">
        <f>IF(OR(ISERROR(SEARCH("recipiente",A579))=FALSE, ISERROR(SEARCH("serbatoio",A579))=FALSE, ISERROR(SEARCH("scambiatore",A579))=FALSE),
    IF(D579*E579&gt;3000,"IV",
        IF(D579*E579&gt;1000,"III",
            IF(D579*E579&gt;200,"II",
                IF(D579*E579&gt;50,"I","")
            )
        )
    ),
    IF(ISERROR(SEARCH("valvola di sicurezza",A579))=FALSE,"IV","")
)</f>
        <v/>
      </c>
    </row>
    <row r="580" spans="1:7" x14ac:dyDescent="0.3">
      <c r="A580" t="s">
        <v>65</v>
      </c>
      <c r="B580" t="s">
        <v>377</v>
      </c>
      <c r="C580" s="2" t="s">
        <v>488</v>
      </c>
      <c r="D580" s="1">
        <v>1400</v>
      </c>
      <c r="E580" s="1">
        <v>15</v>
      </c>
      <c r="F580" s="5"/>
      <c r="G580" s="1" t="str">
        <f>IF(OR(ISERROR(SEARCH("recipiente",A580))=FALSE, ISERROR(SEARCH("serbatoio",A580))=FALSE, ISERROR(SEARCH("scambiatore",A580))=FALSE),
    IF(D580*E580&gt;3000,"IV",
        IF(D580*E580&gt;1000,"III",
            IF(D580*E580&gt;200,"II",
                IF(D580*E580&gt;50,"I","")
            )
        )
    ),
    IF(ISERROR(SEARCH("valvola di sicurezza",A580))=FALSE,"IV","")
)</f>
        <v/>
      </c>
    </row>
    <row r="581" spans="1:7" x14ac:dyDescent="0.3">
      <c r="A581" t="s">
        <v>65</v>
      </c>
      <c r="B581" t="s">
        <v>377</v>
      </c>
      <c r="C581" s="2" t="s">
        <v>489</v>
      </c>
      <c r="D581" s="1">
        <v>1860</v>
      </c>
      <c r="E581" s="1">
        <v>11</v>
      </c>
      <c r="F581" s="5"/>
      <c r="G581" s="1" t="str">
        <f>IF(OR(ISERROR(SEARCH("recipiente",A581))=FALSE, ISERROR(SEARCH("serbatoio",A581))=FALSE, ISERROR(SEARCH("scambiatore",A581))=FALSE),
    IF(D581*E581&gt;3000,"IV",
        IF(D581*E581&gt;1000,"III",
            IF(D581*E581&gt;200,"II",
                IF(D581*E581&gt;50,"I","")
            )
        )
    ),
    IF(ISERROR(SEARCH("valvola di sicurezza",A581))=FALSE,"IV","")
)</f>
        <v/>
      </c>
    </row>
    <row r="582" spans="1:7" x14ac:dyDescent="0.3">
      <c r="A582" t="s">
        <v>65</v>
      </c>
      <c r="B582" t="s">
        <v>377</v>
      </c>
      <c r="C582" s="2" t="s">
        <v>490</v>
      </c>
      <c r="D582" s="1">
        <v>2200</v>
      </c>
      <c r="E582" s="1">
        <v>8</v>
      </c>
      <c r="F582" s="5"/>
      <c r="G582" s="1" t="str">
        <f>IF(OR(ISERROR(SEARCH("recipiente",A582))=FALSE, ISERROR(SEARCH("serbatoio",A582))=FALSE, ISERROR(SEARCH("scambiatore",A582))=FALSE),
    IF(D582*E582&gt;3000,"IV",
        IF(D582*E582&gt;1000,"III",
            IF(D582*E582&gt;200,"II",
                IF(D582*E582&gt;50,"I","")
            )
        )
    ),
    IF(ISERROR(SEARCH("valvola di sicurezza",A582))=FALSE,"IV","")
)</f>
        <v/>
      </c>
    </row>
    <row r="583" spans="1:7" x14ac:dyDescent="0.3">
      <c r="A583" t="s">
        <v>65</v>
      </c>
      <c r="B583" t="s">
        <v>377</v>
      </c>
      <c r="C583" s="2" t="s">
        <v>491</v>
      </c>
      <c r="D583" s="1">
        <v>1400</v>
      </c>
      <c r="E583" s="1">
        <v>15</v>
      </c>
      <c r="F583" s="5"/>
      <c r="G583" s="1" t="str">
        <f>IF(OR(ISERROR(SEARCH("recipiente",A583))=FALSE, ISERROR(SEARCH("serbatoio",A583))=FALSE, ISERROR(SEARCH("scambiatore",A583))=FALSE),
    IF(D583*E583&gt;3000,"IV",
        IF(D583*E583&gt;1000,"III",
            IF(D583*E583&gt;200,"II",
                IF(D583*E583&gt;50,"I","")
            )
        )
    ),
    IF(ISERROR(SEARCH("valvola di sicurezza",A583))=FALSE,"IV","")
)</f>
        <v/>
      </c>
    </row>
    <row r="584" spans="1:7" x14ac:dyDescent="0.3">
      <c r="A584" t="s">
        <v>65</v>
      </c>
      <c r="B584" t="s">
        <v>377</v>
      </c>
      <c r="C584" s="2" t="s">
        <v>492</v>
      </c>
      <c r="D584" s="1">
        <v>1860</v>
      </c>
      <c r="E584" s="1">
        <v>11</v>
      </c>
      <c r="F584" s="5"/>
      <c r="G584" s="1" t="str">
        <f>IF(OR(ISERROR(SEARCH("recipiente",A584))=FALSE, ISERROR(SEARCH("serbatoio",A584))=FALSE, ISERROR(SEARCH("scambiatore",A584))=FALSE),
    IF(D584*E584&gt;3000,"IV",
        IF(D584*E584&gt;1000,"III",
            IF(D584*E584&gt;200,"II",
                IF(D584*E584&gt;50,"I","")
            )
        )
    ),
    IF(ISERROR(SEARCH("valvola di sicurezza",A584))=FALSE,"IV","")
)</f>
        <v/>
      </c>
    </row>
    <row r="585" spans="1:7" x14ac:dyDescent="0.3">
      <c r="A585" t="s">
        <v>65</v>
      </c>
      <c r="B585" t="s">
        <v>377</v>
      </c>
      <c r="C585" s="2" t="s">
        <v>493</v>
      </c>
      <c r="D585" s="1">
        <v>1980</v>
      </c>
      <c r="E585" s="1">
        <v>8</v>
      </c>
      <c r="F585" s="5"/>
      <c r="G585" s="1" t="str">
        <f>IF(OR(ISERROR(SEARCH("recipiente",A585))=FALSE, ISERROR(SEARCH("serbatoio",A585))=FALSE, ISERROR(SEARCH("scambiatore",A585))=FALSE),
    IF(D585*E585&gt;3000,"IV",
        IF(D585*E585&gt;1000,"III",
            IF(D585*E585&gt;200,"II",
                IF(D585*E585&gt;50,"I","")
            )
        )
    ),
    IF(ISERROR(SEARCH("valvola di sicurezza",A585))=FALSE,"IV","")
)</f>
        <v/>
      </c>
    </row>
    <row r="586" spans="1:7" x14ac:dyDescent="0.3">
      <c r="A586" t="s">
        <v>65</v>
      </c>
      <c r="B586" t="s">
        <v>377</v>
      </c>
      <c r="C586" s="2" t="s">
        <v>494</v>
      </c>
      <c r="D586" s="1">
        <v>1370</v>
      </c>
      <c r="E586" s="1">
        <v>15</v>
      </c>
      <c r="F586" s="5"/>
      <c r="G586" s="1" t="str">
        <f>IF(OR(ISERROR(SEARCH("recipiente",A586))=FALSE, ISERROR(SEARCH("serbatoio",A586))=FALSE, ISERROR(SEARCH("scambiatore",A586))=FALSE),
    IF(D586*E586&gt;3000,"IV",
        IF(D586*E586&gt;1000,"III",
            IF(D586*E586&gt;200,"II",
                IF(D586*E586&gt;50,"I","")
            )
        )
    ),
    IF(ISERROR(SEARCH("valvola di sicurezza",A586))=FALSE,"IV","")
)</f>
        <v/>
      </c>
    </row>
    <row r="587" spans="1:7" x14ac:dyDescent="0.3">
      <c r="A587" t="s">
        <v>65</v>
      </c>
      <c r="B587" t="s">
        <v>377</v>
      </c>
      <c r="C587" s="2" t="s">
        <v>495</v>
      </c>
      <c r="D587" s="1">
        <v>1670</v>
      </c>
      <c r="E587" s="1">
        <v>11</v>
      </c>
      <c r="F587" s="5"/>
      <c r="G587" s="1" t="str">
        <f>IF(OR(ISERROR(SEARCH("recipiente",A587))=FALSE, ISERROR(SEARCH("serbatoio",A587))=FALSE, ISERROR(SEARCH("scambiatore",A587))=FALSE),
    IF(D587*E587&gt;3000,"IV",
        IF(D587*E587&gt;1000,"III",
            IF(D587*E587&gt;200,"II",
                IF(D587*E587&gt;50,"I","")
            )
        )
    ),
    IF(ISERROR(SEARCH("valvola di sicurezza",A587))=FALSE,"IV","")
)</f>
        <v/>
      </c>
    </row>
    <row r="588" spans="1:7" x14ac:dyDescent="0.3">
      <c r="A588" t="s">
        <v>65</v>
      </c>
      <c r="B588" t="s">
        <v>377</v>
      </c>
      <c r="C588" s="2" t="s">
        <v>496</v>
      </c>
      <c r="D588" s="1">
        <v>2000</v>
      </c>
      <c r="E588" s="1">
        <v>8</v>
      </c>
      <c r="F588" s="5"/>
      <c r="G588" s="1" t="str">
        <f>IF(OR(ISERROR(SEARCH("recipiente",A588))=FALSE, ISERROR(SEARCH("serbatoio",A588))=FALSE, ISERROR(SEARCH("scambiatore",A588))=FALSE),
    IF(D588*E588&gt;3000,"IV",
        IF(D588*E588&gt;1000,"III",
            IF(D588*E588&gt;200,"II",
                IF(D588*E588&gt;50,"I","")
            )
        )
    ),
    IF(ISERROR(SEARCH("valvola di sicurezza",A588))=FALSE,"IV","")
)</f>
        <v/>
      </c>
    </row>
    <row r="589" spans="1:7" x14ac:dyDescent="0.3">
      <c r="A589" t="s">
        <v>65</v>
      </c>
      <c r="B589" t="s">
        <v>377</v>
      </c>
      <c r="C589" s="2" t="s">
        <v>497</v>
      </c>
      <c r="D589" s="1">
        <v>1320</v>
      </c>
      <c r="E589" s="1">
        <v>15</v>
      </c>
      <c r="F589" s="5"/>
      <c r="G589" s="1" t="str">
        <f>IF(OR(ISERROR(SEARCH("recipiente",A589))=FALSE, ISERROR(SEARCH("serbatoio",A589))=FALSE, ISERROR(SEARCH("scambiatore",A589))=FALSE),
    IF(D589*E589&gt;3000,"IV",
        IF(D589*E589&gt;1000,"III",
            IF(D589*E589&gt;200,"II",
                IF(D589*E589&gt;50,"I","")
            )
        )
    ),
    IF(ISERROR(SEARCH("valvola di sicurezza",A589))=FALSE,"IV","")
)</f>
        <v/>
      </c>
    </row>
    <row r="590" spans="1:7" x14ac:dyDescent="0.3">
      <c r="A590" t="s">
        <v>65</v>
      </c>
      <c r="B590" t="s">
        <v>377</v>
      </c>
      <c r="C590" s="2" t="s">
        <v>498</v>
      </c>
      <c r="D590" s="1">
        <v>1680</v>
      </c>
      <c r="E590" s="1">
        <v>11</v>
      </c>
      <c r="F590" s="5"/>
      <c r="G590" s="1" t="str">
        <f>IF(OR(ISERROR(SEARCH("recipiente",A590))=FALSE, ISERROR(SEARCH("serbatoio",A590))=FALSE, ISERROR(SEARCH("scambiatore",A590))=FALSE),
    IF(D590*E590&gt;3000,"IV",
        IF(D590*E590&gt;1000,"III",
            IF(D590*E590&gt;200,"II",
                IF(D590*E590&gt;50,"I","")
            )
        )
    ),
    IF(ISERROR(SEARCH("valvola di sicurezza",A590))=FALSE,"IV","")
)</f>
        <v/>
      </c>
    </row>
    <row r="591" spans="1:7" x14ac:dyDescent="0.3">
      <c r="A591" t="s">
        <v>65</v>
      </c>
      <c r="B591" t="s">
        <v>377</v>
      </c>
      <c r="C591" s="2" t="s">
        <v>499</v>
      </c>
      <c r="D591" s="1">
        <v>1830</v>
      </c>
      <c r="E591" s="1">
        <v>11</v>
      </c>
      <c r="F591" s="5"/>
      <c r="G591" s="1" t="str">
        <f>IF(OR(ISERROR(SEARCH("recipiente",A591))=FALSE, ISERROR(SEARCH("serbatoio",A591))=FALSE, ISERROR(SEARCH("scambiatore",A591))=FALSE),
    IF(D591*E591&gt;3000,"IV",
        IF(D591*E591&gt;1000,"III",
            IF(D591*E591&gt;200,"II",
                IF(D591*E591&gt;50,"I","")
            )
        )
    ),
    IF(ISERROR(SEARCH("valvola di sicurezza",A591))=FALSE,"IV","")
)</f>
        <v/>
      </c>
    </row>
    <row r="592" spans="1:7" x14ac:dyDescent="0.3">
      <c r="A592" t="s">
        <v>65</v>
      </c>
      <c r="B592" t="s">
        <v>377</v>
      </c>
      <c r="C592" s="2" t="s">
        <v>500</v>
      </c>
      <c r="D592" s="1">
        <v>2120</v>
      </c>
      <c r="E592" s="1">
        <v>8</v>
      </c>
      <c r="F592" s="5"/>
      <c r="G592" s="1" t="str">
        <f>IF(OR(ISERROR(SEARCH("recipiente",A592))=FALSE, ISERROR(SEARCH("serbatoio",A592))=FALSE, ISERROR(SEARCH("scambiatore",A592))=FALSE),
    IF(D592*E592&gt;3000,"IV",
        IF(D592*E592&gt;1000,"III",
            IF(D592*E592&gt;200,"II",
                IF(D592*E592&gt;50,"I","")
            )
        )
    ),
    IF(ISERROR(SEARCH("valvola di sicurezza",A592))=FALSE,"IV","")
)</f>
        <v/>
      </c>
    </row>
    <row r="593" spans="1:7" x14ac:dyDescent="0.3">
      <c r="A593" t="s">
        <v>65</v>
      </c>
      <c r="B593" t="s">
        <v>377</v>
      </c>
      <c r="C593" s="2" t="s">
        <v>501</v>
      </c>
      <c r="D593" s="1">
        <v>1440</v>
      </c>
      <c r="E593" s="1">
        <v>15</v>
      </c>
      <c r="F593" s="5"/>
      <c r="G593" s="1" t="str">
        <f>IF(OR(ISERROR(SEARCH("recipiente",A593))=FALSE, ISERROR(SEARCH("serbatoio",A593))=FALSE, ISERROR(SEARCH("scambiatore",A593))=FALSE),
    IF(D593*E593&gt;3000,"IV",
        IF(D593*E593&gt;1000,"III",
            IF(D593*E593&gt;200,"II",
                IF(D593*E593&gt;50,"I","")
            )
        )
    ),
    IF(ISERROR(SEARCH("valvola di sicurezza",A593))=FALSE,"IV","")
)</f>
        <v/>
      </c>
    </row>
    <row r="594" spans="1:7" x14ac:dyDescent="0.3">
      <c r="A594" t="s">
        <v>65</v>
      </c>
      <c r="B594" t="s">
        <v>377</v>
      </c>
      <c r="C594" s="2" t="s">
        <v>502</v>
      </c>
      <c r="D594" s="1">
        <v>2000</v>
      </c>
      <c r="E594" s="1">
        <v>8</v>
      </c>
      <c r="F594" s="5"/>
      <c r="G594" s="1" t="str">
        <f>IF(OR(ISERROR(SEARCH("recipiente",A594))=FALSE, ISERROR(SEARCH("serbatoio",A594))=FALSE, ISERROR(SEARCH("scambiatore",A594))=FALSE),
    IF(D594*E594&gt;3000,"IV",
        IF(D594*E594&gt;1000,"III",
            IF(D594*E594&gt;200,"II",
                IF(D594*E594&gt;50,"I","")
            )
        )
    ),
    IF(ISERROR(SEARCH("valvola di sicurezza",A594))=FALSE,"IV","")
)</f>
        <v/>
      </c>
    </row>
    <row r="595" spans="1:7" x14ac:dyDescent="0.3">
      <c r="A595" t="s">
        <v>65</v>
      </c>
      <c r="B595" t="s">
        <v>377</v>
      </c>
      <c r="C595" s="2" t="s">
        <v>503</v>
      </c>
      <c r="D595" s="1">
        <v>1320</v>
      </c>
      <c r="E595" s="1">
        <v>15</v>
      </c>
      <c r="F595" s="5"/>
      <c r="G595" s="1" t="str">
        <f>IF(OR(ISERROR(SEARCH("recipiente",A595))=FALSE, ISERROR(SEARCH("serbatoio",A595))=FALSE, ISERROR(SEARCH("scambiatore",A595))=FALSE),
    IF(D595*E595&gt;3000,"IV",
        IF(D595*E595&gt;1000,"III",
            IF(D595*E595&gt;200,"II",
                IF(D595*E595&gt;50,"I","")
            )
        )
    ),
    IF(ISERROR(SEARCH("valvola di sicurezza",A595))=FALSE,"IV","")
)</f>
        <v/>
      </c>
    </row>
    <row r="596" spans="1:7" x14ac:dyDescent="0.3">
      <c r="A596" t="s">
        <v>65</v>
      </c>
      <c r="B596" t="s">
        <v>377</v>
      </c>
      <c r="C596" s="2" t="s">
        <v>504</v>
      </c>
      <c r="D596" s="1">
        <v>1680</v>
      </c>
      <c r="E596" s="1">
        <v>11</v>
      </c>
      <c r="F596" s="5"/>
      <c r="G596" s="1" t="str">
        <f>IF(OR(ISERROR(SEARCH("recipiente",A596))=FALSE, ISERROR(SEARCH("serbatoio",A596))=FALSE, ISERROR(SEARCH("scambiatore",A596))=FALSE),
    IF(D596*E596&gt;3000,"IV",
        IF(D596*E596&gt;1000,"III",
            IF(D596*E596&gt;200,"II",
                IF(D596*E596&gt;50,"I","")
            )
        )
    ),
    IF(ISERROR(SEARCH("valvola di sicurezza",A596))=FALSE,"IV","")
)</f>
        <v/>
      </c>
    </row>
    <row r="597" spans="1:7" x14ac:dyDescent="0.3">
      <c r="A597" t="s">
        <v>65</v>
      </c>
      <c r="B597" t="s">
        <v>377</v>
      </c>
      <c r="C597" s="2" t="s">
        <v>505</v>
      </c>
      <c r="D597" s="1">
        <v>1800</v>
      </c>
      <c r="E597" s="1">
        <v>8</v>
      </c>
      <c r="F597" s="5"/>
      <c r="G597" s="1" t="str">
        <f>IF(OR(ISERROR(SEARCH("recipiente",A597))=FALSE, ISERROR(SEARCH("serbatoio",A597))=FALSE, ISERROR(SEARCH("scambiatore",A597))=FALSE),
    IF(D597*E597&gt;3000,"IV",
        IF(D597*E597&gt;1000,"III",
            IF(D597*E597&gt;200,"II",
                IF(D597*E597&gt;50,"I","")
            )
        )
    ),
    IF(ISERROR(SEARCH("valvola di sicurezza",A597))=FALSE,"IV","")
)</f>
        <v/>
      </c>
    </row>
    <row r="598" spans="1:7" x14ac:dyDescent="0.3">
      <c r="A598" t="s">
        <v>65</v>
      </c>
      <c r="B598" t="s">
        <v>377</v>
      </c>
      <c r="C598" s="2" t="s">
        <v>506</v>
      </c>
      <c r="D598" s="1">
        <v>1140</v>
      </c>
      <c r="E598" s="1">
        <v>15</v>
      </c>
      <c r="F598" s="5"/>
      <c r="G598" s="1" t="str">
        <f>IF(OR(ISERROR(SEARCH("recipiente",A598))=FALSE, ISERROR(SEARCH("serbatoio",A598))=FALSE, ISERROR(SEARCH("scambiatore",A598))=FALSE),
    IF(D598*E598&gt;3000,"IV",
        IF(D598*E598&gt;1000,"III",
            IF(D598*E598&gt;200,"II",
                IF(D598*E598&gt;50,"I","")
            )
        )
    ),
    IF(ISERROR(SEARCH("valvola di sicurezza",A598))=FALSE,"IV","")
)</f>
        <v/>
      </c>
    </row>
    <row r="599" spans="1:7" x14ac:dyDescent="0.3">
      <c r="A599" t="s">
        <v>65</v>
      </c>
      <c r="B599" t="s">
        <v>377</v>
      </c>
      <c r="C599" s="2" t="s">
        <v>507</v>
      </c>
      <c r="D599" s="1">
        <v>1530</v>
      </c>
      <c r="E599" s="1">
        <v>11</v>
      </c>
      <c r="F599" s="5"/>
      <c r="G599" s="1" t="str">
        <f>IF(OR(ISERROR(SEARCH("recipiente",A599))=FALSE, ISERROR(SEARCH("serbatoio",A599))=FALSE, ISERROR(SEARCH("scambiatore",A599))=FALSE),
    IF(D599*E599&gt;3000,"IV",
        IF(D599*E599&gt;1000,"III",
            IF(D599*E599&gt;200,"II",
                IF(D599*E599&gt;50,"I","")
            )
        )
    ),
    IF(ISERROR(SEARCH("valvola di sicurezza",A599))=FALSE,"IV","")
)</f>
        <v/>
      </c>
    </row>
    <row r="600" spans="1:7" x14ac:dyDescent="0.3">
      <c r="A600" t="s">
        <v>65</v>
      </c>
      <c r="B600" t="s">
        <v>377</v>
      </c>
      <c r="C600" s="2" t="s">
        <v>508</v>
      </c>
      <c r="D600" s="1">
        <v>1950</v>
      </c>
      <c r="E600" s="1">
        <v>8</v>
      </c>
      <c r="F600" s="5"/>
      <c r="G600" s="1" t="str">
        <f>IF(OR(ISERROR(SEARCH("recipiente",A600))=FALSE, ISERROR(SEARCH("serbatoio",A600))=FALSE, ISERROR(SEARCH("scambiatore",A600))=FALSE),
    IF(D600*E600&gt;3000,"IV",
        IF(D600*E600&gt;1000,"III",
            IF(D600*E600&gt;200,"II",
                IF(D600*E600&gt;50,"I","")
            )
        )
    ),
    IF(ISERROR(SEARCH("valvola di sicurezza",A600))=FALSE,"IV","")
)</f>
        <v/>
      </c>
    </row>
    <row r="601" spans="1:7" x14ac:dyDescent="0.3">
      <c r="A601" t="s">
        <v>65</v>
      </c>
      <c r="B601" t="s">
        <v>377</v>
      </c>
      <c r="C601" s="2" t="s">
        <v>509</v>
      </c>
      <c r="D601" s="1">
        <v>1240</v>
      </c>
      <c r="E601" s="1">
        <v>15</v>
      </c>
      <c r="F601" s="5"/>
      <c r="G601" s="1" t="str">
        <f>IF(OR(ISERROR(SEARCH("recipiente",A601))=FALSE, ISERROR(SEARCH("serbatoio",A601))=FALSE, ISERROR(SEARCH("scambiatore",A601))=FALSE),
    IF(D601*E601&gt;3000,"IV",
        IF(D601*E601&gt;1000,"III",
            IF(D601*E601&gt;200,"II",
                IF(D601*E601&gt;50,"I","")
            )
        )
    ),
    IF(ISERROR(SEARCH("valvola di sicurezza",A601))=FALSE,"IV","")
)</f>
        <v/>
      </c>
    </row>
    <row r="602" spans="1:7" x14ac:dyDescent="0.3">
      <c r="A602" t="s">
        <v>65</v>
      </c>
      <c r="B602" t="s">
        <v>377</v>
      </c>
      <c r="C602" s="2" t="s">
        <v>510</v>
      </c>
      <c r="D602" s="1">
        <v>1610</v>
      </c>
      <c r="E602" s="1">
        <v>11</v>
      </c>
      <c r="F602" s="5"/>
      <c r="G602" s="1" t="str">
        <f>IF(OR(ISERROR(SEARCH("recipiente",A602))=FALSE, ISERROR(SEARCH("serbatoio",A602))=FALSE, ISERROR(SEARCH("scambiatore",A602))=FALSE),
    IF(D602*E602&gt;3000,"IV",
        IF(D602*E602&gt;1000,"III",
            IF(D602*E602&gt;200,"II",
                IF(D602*E602&gt;50,"I","")
            )
        )
    ),
    IF(ISERROR(SEARCH("valvola di sicurezza",A602))=FALSE,"IV","")
)</f>
        <v/>
      </c>
    </row>
    <row r="603" spans="1:7" x14ac:dyDescent="0.3">
      <c r="A603" t="s">
        <v>65</v>
      </c>
      <c r="B603" t="s">
        <v>377</v>
      </c>
      <c r="C603" s="2" t="s">
        <v>511</v>
      </c>
      <c r="D603" s="1">
        <v>1800</v>
      </c>
      <c r="E603" s="1">
        <v>8</v>
      </c>
      <c r="F603" s="5"/>
      <c r="G603" s="1" t="str">
        <f>IF(OR(ISERROR(SEARCH("recipiente",A603))=FALSE, ISERROR(SEARCH("serbatoio",A603))=FALSE, ISERROR(SEARCH("scambiatore",A603))=FALSE),
    IF(D603*E603&gt;3000,"IV",
        IF(D603*E603&gt;1000,"III",
            IF(D603*E603&gt;200,"II",
                IF(D603*E603&gt;50,"I","")
            )
        )
    ),
    IF(ISERROR(SEARCH("valvola di sicurezza",A603))=FALSE,"IV","")
)</f>
        <v/>
      </c>
    </row>
    <row r="604" spans="1:7" x14ac:dyDescent="0.3">
      <c r="A604" t="s">
        <v>65</v>
      </c>
      <c r="B604" t="s">
        <v>377</v>
      </c>
      <c r="C604" s="2" t="s">
        <v>512</v>
      </c>
      <c r="D604" s="1">
        <v>1140</v>
      </c>
      <c r="E604" s="1">
        <v>15</v>
      </c>
      <c r="F604" s="5"/>
      <c r="G604" s="1" t="str">
        <f>IF(OR(ISERROR(SEARCH("recipiente",A604))=FALSE, ISERROR(SEARCH("serbatoio",A604))=FALSE, ISERROR(SEARCH("scambiatore",A604))=FALSE),
    IF(D604*E604&gt;3000,"IV",
        IF(D604*E604&gt;1000,"III",
            IF(D604*E604&gt;200,"II",
                IF(D604*E604&gt;50,"I","")
            )
        )
    ),
    IF(ISERROR(SEARCH("valvola di sicurezza",A604))=FALSE,"IV","")
)</f>
        <v/>
      </c>
    </row>
    <row r="605" spans="1:7" x14ac:dyDescent="0.3">
      <c r="A605" t="s">
        <v>65</v>
      </c>
      <c r="B605" t="s">
        <v>377</v>
      </c>
      <c r="C605" s="2" t="s">
        <v>513</v>
      </c>
      <c r="D605" s="1">
        <v>1530</v>
      </c>
      <c r="E605" s="1">
        <v>11</v>
      </c>
      <c r="F605" s="5"/>
      <c r="G605" s="1" t="str">
        <f>IF(OR(ISERROR(SEARCH("recipiente",A605))=FALSE, ISERROR(SEARCH("serbatoio",A605))=FALSE, ISERROR(SEARCH("scambiatore",A605))=FALSE),
    IF(D605*E605&gt;3000,"IV",
        IF(D605*E605&gt;1000,"III",
            IF(D605*E605&gt;200,"II",
                IF(D605*E605&gt;50,"I","")
            )
        )
    ),
    IF(ISERROR(SEARCH("valvola di sicurezza",A605))=FALSE,"IV","")
)</f>
        <v/>
      </c>
    </row>
    <row r="606" spans="1:7" x14ac:dyDescent="0.3">
      <c r="A606" t="s">
        <v>65</v>
      </c>
      <c r="B606" t="s">
        <v>377</v>
      </c>
      <c r="C606" s="2" t="s">
        <v>514</v>
      </c>
      <c r="D606" s="1">
        <v>1855</v>
      </c>
      <c r="E606" s="1">
        <v>11</v>
      </c>
      <c r="F606" s="5"/>
      <c r="G606" s="1" t="str">
        <f>IF(OR(ISERROR(SEARCH("recipiente",A606))=FALSE, ISERROR(SEARCH("serbatoio",A606))=FALSE, ISERROR(SEARCH("scambiatore",A606))=FALSE),
    IF(D606*E606&gt;3000,"IV",
        IF(D606*E606&gt;1000,"III",
            IF(D606*E606&gt;200,"II",
                IF(D606*E606&gt;50,"I","")
            )
        )
    ),
    IF(ISERROR(SEARCH("valvola di sicurezza",A606))=FALSE,"IV","")
)</f>
        <v/>
      </c>
    </row>
    <row r="607" spans="1:7" x14ac:dyDescent="0.3">
      <c r="A607" t="s">
        <v>65</v>
      </c>
      <c r="B607" t="s">
        <v>377</v>
      </c>
      <c r="C607" s="2" t="s">
        <v>515</v>
      </c>
      <c r="D607" s="1">
        <v>1680</v>
      </c>
      <c r="E607" s="1">
        <v>11</v>
      </c>
      <c r="F607" s="5"/>
      <c r="G607" s="1" t="str">
        <f>IF(OR(ISERROR(SEARCH("recipiente",A607))=FALSE, ISERROR(SEARCH("serbatoio",A607))=FALSE, ISERROR(SEARCH("scambiatore",A607))=FALSE),
    IF(D607*E607&gt;3000,"IV",
        IF(D607*E607&gt;1000,"III",
            IF(D607*E607&gt;200,"II",
                IF(D607*E607&gt;50,"I","")
            )
        )
    ),
    IF(ISERROR(SEARCH("valvola di sicurezza",A607))=FALSE,"IV","")
)</f>
        <v/>
      </c>
    </row>
    <row r="608" spans="1:7" x14ac:dyDescent="0.3">
      <c r="A608" t="s">
        <v>65</v>
      </c>
      <c r="B608" t="s">
        <v>377</v>
      </c>
      <c r="C608" s="2" t="s">
        <v>516</v>
      </c>
      <c r="D608" s="1">
        <v>160</v>
      </c>
      <c r="E608" s="1">
        <v>11</v>
      </c>
      <c r="F608" s="5"/>
      <c r="G608" s="1" t="str">
        <f>IF(OR(ISERROR(SEARCH("recipiente",A608))=FALSE, ISERROR(SEARCH("serbatoio",A608))=FALSE, ISERROR(SEARCH("scambiatore",A608))=FALSE),
    IF(D608*E608&gt;3000,"IV",
        IF(D608*E608&gt;1000,"III",
            IF(D608*E608&gt;200,"II",
                IF(D608*E608&gt;50,"I","")
            )
        )
    ),
    IF(ISERROR(SEARCH("valvola di sicurezza",A608))=FALSE,"IV","")
)</f>
        <v/>
      </c>
    </row>
    <row r="609" spans="1:7" x14ac:dyDescent="0.3">
      <c r="A609" t="s">
        <v>65</v>
      </c>
      <c r="B609" t="s">
        <v>377</v>
      </c>
      <c r="C609" s="2" t="s">
        <v>517</v>
      </c>
      <c r="D609" s="1">
        <v>24220</v>
      </c>
      <c r="E609" s="1">
        <v>8.5</v>
      </c>
      <c r="F609" s="5"/>
      <c r="G609" s="1" t="str">
        <f>IF(OR(ISERROR(SEARCH("recipiente",A609))=FALSE, ISERROR(SEARCH("serbatoio",A609))=FALSE, ISERROR(SEARCH("scambiatore",A609))=FALSE),
    IF(D609*E609&gt;3000,"IV",
        IF(D609*E609&gt;1000,"III",
            IF(D609*E609&gt;200,"II",
                IF(D609*E609&gt;50,"I","")
            )
        )
    ),
    IF(ISERROR(SEARCH("valvola di sicurezza",A609))=FALSE,"IV","")
)</f>
        <v/>
      </c>
    </row>
    <row r="610" spans="1:7" x14ac:dyDescent="0.3">
      <c r="A610" t="s">
        <v>65</v>
      </c>
      <c r="B610" t="s">
        <v>377</v>
      </c>
      <c r="C610" s="2" t="s">
        <v>518</v>
      </c>
      <c r="D610" s="1">
        <v>15880</v>
      </c>
      <c r="E610" s="1">
        <v>15</v>
      </c>
      <c r="F610" s="5"/>
      <c r="G610" s="1" t="str">
        <f>IF(OR(ISERROR(SEARCH("recipiente",A610))=FALSE, ISERROR(SEARCH("serbatoio",A610))=FALSE, ISERROR(SEARCH("scambiatore",A610))=FALSE),
    IF(D610*E610&gt;3000,"IV",
        IF(D610*E610&gt;1000,"III",
            IF(D610*E610&gt;200,"II",
                IF(D610*E610&gt;50,"I","")
            )
        )
    ),
    IF(ISERROR(SEARCH("valvola di sicurezza",A610))=FALSE,"IV","")
)</f>
        <v/>
      </c>
    </row>
    <row r="611" spans="1:7" x14ac:dyDescent="0.3">
      <c r="A611" t="s">
        <v>65</v>
      </c>
      <c r="B611" t="s">
        <v>377</v>
      </c>
      <c r="C611" s="2" t="s">
        <v>519</v>
      </c>
      <c r="D611" s="1">
        <v>20780</v>
      </c>
      <c r="E611" s="1">
        <v>12</v>
      </c>
      <c r="F611" s="5"/>
      <c r="G611" s="1" t="str">
        <f>IF(OR(ISERROR(SEARCH("recipiente",A611))=FALSE, ISERROR(SEARCH("serbatoio",A611))=FALSE, ISERROR(SEARCH("scambiatore",A611))=FALSE),
    IF(D611*E611&gt;3000,"IV",
        IF(D611*E611&gt;1000,"III",
            IF(D611*E611&gt;200,"II",
                IF(D611*E611&gt;50,"I","")
            )
        )
    ),
    IF(ISERROR(SEARCH("valvola di sicurezza",A611))=FALSE,"IV","")
)</f>
        <v/>
      </c>
    </row>
    <row r="612" spans="1:7" x14ac:dyDescent="0.3">
      <c r="A612" t="s">
        <v>65</v>
      </c>
      <c r="B612" t="s">
        <v>377</v>
      </c>
      <c r="C612" s="2" t="s">
        <v>520</v>
      </c>
      <c r="D612" s="1">
        <v>21000</v>
      </c>
      <c r="E612" s="1">
        <v>8.5</v>
      </c>
      <c r="F612" s="5"/>
      <c r="G612" s="1" t="str">
        <f>IF(OR(ISERROR(SEARCH("recipiente",A612))=FALSE, ISERROR(SEARCH("serbatoio",A612))=FALSE, ISERROR(SEARCH("scambiatore",A612))=FALSE),
    IF(D612*E612&gt;3000,"IV",
        IF(D612*E612&gt;1000,"III",
            IF(D612*E612&gt;200,"II",
                IF(D612*E612&gt;50,"I","")
            )
        )
    ),
    IF(ISERROR(SEARCH("valvola di sicurezza",A612))=FALSE,"IV","")
)</f>
        <v/>
      </c>
    </row>
    <row r="613" spans="1:7" x14ac:dyDescent="0.3">
      <c r="A613" t="s">
        <v>65</v>
      </c>
      <c r="B613" t="s">
        <v>377</v>
      </c>
      <c r="C613" s="2" t="s">
        <v>521</v>
      </c>
      <c r="D613" s="1">
        <v>13060</v>
      </c>
      <c r="E613" s="1">
        <v>15</v>
      </c>
      <c r="F613" s="5"/>
      <c r="G613" s="1" t="str">
        <f>IF(OR(ISERROR(SEARCH("recipiente",A613))=FALSE, ISERROR(SEARCH("serbatoio",A613))=FALSE, ISERROR(SEARCH("scambiatore",A613))=FALSE),
    IF(D613*E613&gt;3000,"IV",
        IF(D613*E613&gt;1000,"III",
            IF(D613*E613&gt;200,"II",
                IF(D613*E613&gt;50,"I","")
            )
        )
    ),
    IF(ISERROR(SEARCH("valvola di sicurezza",A613))=FALSE,"IV","")
)</f>
        <v/>
      </c>
    </row>
    <row r="614" spans="1:7" x14ac:dyDescent="0.3">
      <c r="A614" t="s">
        <v>65</v>
      </c>
      <c r="B614" t="s">
        <v>377</v>
      </c>
      <c r="C614" s="2" t="s">
        <v>522</v>
      </c>
      <c r="D614" s="1">
        <v>16590</v>
      </c>
      <c r="E614" s="1">
        <v>12</v>
      </c>
      <c r="F614" s="5"/>
      <c r="G614" s="1" t="str">
        <f>IF(OR(ISERROR(SEARCH("recipiente",A614))=FALSE, ISERROR(SEARCH("serbatoio",A614))=FALSE, ISERROR(SEARCH("scambiatore",A614))=FALSE),
    IF(D614*E614&gt;3000,"IV",
        IF(D614*E614&gt;1000,"III",
            IF(D614*E614&gt;200,"II",
                IF(D614*E614&gt;50,"I","")
            )
        )
    ),
    IF(ISERROR(SEARCH("valvola di sicurezza",A614))=FALSE,"IV","")
)</f>
        <v/>
      </c>
    </row>
    <row r="615" spans="1:7" x14ac:dyDescent="0.3">
      <c r="A615" t="s">
        <v>65</v>
      </c>
      <c r="B615" t="s">
        <v>377</v>
      </c>
      <c r="C615" s="2" t="s">
        <v>523</v>
      </c>
      <c r="D615" s="1">
        <v>21000</v>
      </c>
      <c r="E615" s="1">
        <v>8.5</v>
      </c>
      <c r="F615" s="5"/>
      <c r="G615" s="1" t="str">
        <f>IF(OR(ISERROR(SEARCH("recipiente",A615))=FALSE, ISERROR(SEARCH("serbatoio",A615))=FALSE, ISERROR(SEARCH("scambiatore",A615))=FALSE),
    IF(D615*E615&gt;3000,"IV",
        IF(D615*E615&gt;1000,"III",
            IF(D615*E615&gt;200,"II",
                IF(D615*E615&gt;50,"I","")
            )
        )
    ),
    IF(ISERROR(SEARCH("valvola di sicurezza",A615))=FALSE,"IV","")
)</f>
        <v/>
      </c>
    </row>
    <row r="616" spans="1:7" x14ac:dyDescent="0.3">
      <c r="A616" t="s">
        <v>65</v>
      </c>
      <c r="B616" t="s">
        <v>377</v>
      </c>
      <c r="C616" s="2" t="s">
        <v>524</v>
      </c>
      <c r="D616" s="1">
        <v>13060</v>
      </c>
      <c r="E616" s="1">
        <v>15</v>
      </c>
      <c r="F616" s="5"/>
      <c r="G616" s="1" t="str">
        <f>IF(OR(ISERROR(SEARCH("recipiente",A616))=FALSE, ISERROR(SEARCH("serbatoio",A616))=FALSE, ISERROR(SEARCH("scambiatore",A616))=FALSE),
    IF(D616*E616&gt;3000,"IV",
        IF(D616*E616&gt;1000,"III",
            IF(D616*E616&gt;200,"II",
                IF(D616*E616&gt;50,"I","")
            )
        )
    ),
    IF(ISERROR(SEARCH("valvola di sicurezza",A616))=FALSE,"IV","")
)</f>
        <v/>
      </c>
    </row>
    <row r="617" spans="1:7" x14ac:dyDescent="0.3">
      <c r="A617" t="s">
        <v>65</v>
      </c>
      <c r="B617" t="s">
        <v>377</v>
      </c>
      <c r="C617" s="2" t="s">
        <v>525</v>
      </c>
      <c r="D617" s="1">
        <v>16590</v>
      </c>
      <c r="E617" s="1">
        <v>12</v>
      </c>
      <c r="F617" s="5"/>
      <c r="G617" s="1" t="str">
        <f>IF(OR(ISERROR(SEARCH("recipiente",A617))=FALSE, ISERROR(SEARCH("serbatoio",A617))=FALSE, ISERROR(SEARCH("scambiatore",A617))=FALSE),
    IF(D617*E617&gt;3000,"IV",
        IF(D617*E617&gt;1000,"III",
            IF(D617*E617&gt;200,"II",
                IF(D617*E617&gt;50,"I","")
            )
        )
    ),
    IF(ISERROR(SEARCH("valvola di sicurezza",A617))=FALSE,"IV","")
)</f>
        <v/>
      </c>
    </row>
    <row r="618" spans="1:7" x14ac:dyDescent="0.3">
      <c r="A618" t="s">
        <v>65</v>
      </c>
      <c r="B618" t="s">
        <v>377</v>
      </c>
      <c r="C618" s="2" t="s">
        <v>526</v>
      </c>
      <c r="D618" s="1">
        <v>22100</v>
      </c>
      <c r="E618" s="1">
        <v>10</v>
      </c>
      <c r="F618" s="5"/>
      <c r="G618" s="1" t="str">
        <f>IF(OR(ISERROR(SEARCH("recipiente",A618))=FALSE, ISERROR(SEARCH("serbatoio",A618))=FALSE, ISERROR(SEARCH("scambiatore",A618))=FALSE),
    IF(D618*E618&gt;3000,"IV",
        IF(D618*E618&gt;1000,"III",
            IF(D618*E618&gt;200,"II",
                IF(D618*E618&gt;50,"I","")
            )
        )
    ),
    IF(ISERROR(SEARCH("valvola di sicurezza",A618))=FALSE,"IV","")
)</f>
        <v/>
      </c>
    </row>
    <row r="619" spans="1:7" x14ac:dyDescent="0.3">
      <c r="A619" t="s">
        <v>65</v>
      </c>
      <c r="B619" t="s">
        <v>377</v>
      </c>
      <c r="C619" s="2" t="s">
        <v>527</v>
      </c>
      <c r="D619" s="1">
        <v>21040</v>
      </c>
      <c r="E619" s="1">
        <v>8.5</v>
      </c>
      <c r="F619" s="5"/>
      <c r="G619" s="1" t="str">
        <f>IF(OR(ISERROR(SEARCH("recipiente",A619))=FALSE, ISERROR(SEARCH("serbatoio",A619))=FALSE, ISERROR(SEARCH("scambiatore",A619))=FALSE),
    IF(D619*E619&gt;3000,"IV",
        IF(D619*E619&gt;1000,"III",
            IF(D619*E619&gt;200,"II",
                IF(D619*E619&gt;50,"I","")
            )
        )
    ),
    IF(ISERROR(SEARCH("valvola di sicurezza",A619))=FALSE,"IV","")
)</f>
        <v/>
      </c>
    </row>
    <row r="620" spans="1:7" x14ac:dyDescent="0.3">
      <c r="A620" t="s">
        <v>65</v>
      </c>
      <c r="B620" t="s">
        <v>377</v>
      </c>
      <c r="C620" s="2" t="s">
        <v>528</v>
      </c>
      <c r="D620" s="1">
        <v>12960</v>
      </c>
      <c r="E620" s="1">
        <v>15</v>
      </c>
      <c r="F620" s="5"/>
      <c r="G620" s="1" t="str">
        <f>IF(OR(ISERROR(SEARCH("recipiente",A620))=FALSE, ISERROR(SEARCH("serbatoio",A620))=FALSE, ISERROR(SEARCH("scambiatore",A620))=FALSE),
    IF(D620*E620&gt;3000,"IV",
        IF(D620*E620&gt;1000,"III",
            IF(D620*E620&gt;200,"II",
                IF(D620*E620&gt;50,"I","")
            )
        )
    ),
    IF(ISERROR(SEARCH("valvola di sicurezza",A620))=FALSE,"IV","")
)</f>
        <v/>
      </c>
    </row>
    <row r="621" spans="1:7" x14ac:dyDescent="0.3">
      <c r="A621" t="s">
        <v>65</v>
      </c>
      <c r="B621" t="s">
        <v>377</v>
      </c>
      <c r="C621" s="2" t="s">
        <v>529</v>
      </c>
      <c r="D621" s="1">
        <v>16210</v>
      </c>
      <c r="E621" s="1">
        <v>12</v>
      </c>
      <c r="F621" s="5"/>
      <c r="G621" s="1" t="str">
        <f>IF(OR(ISERROR(SEARCH("recipiente",A621))=FALSE, ISERROR(SEARCH("serbatoio",A621))=FALSE, ISERROR(SEARCH("scambiatore",A621))=FALSE),
    IF(D621*E621&gt;3000,"IV",
        IF(D621*E621&gt;1000,"III",
            IF(D621*E621&gt;200,"II",
                IF(D621*E621&gt;50,"I","")
            )
        )
    ),
    IF(ISERROR(SEARCH("valvola di sicurezza",A621))=FALSE,"IV","")
)</f>
        <v/>
      </c>
    </row>
    <row r="622" spans="1:7" x14ac:dyDescent="0.3">
      <c r="A622" t="s">
        <v>65</v>
      </c>
      <c r="B622" t="s">
        <v>377</v>
      </c>
      <c r="C622" s="2" t="s">
        <v>530</v>
      </c>
      <c r="D622" s="1">
        <v>13200</v>
      </c>
      <c r="E622" s="1">
        <v>12</v>
      </c>
      <c r="F622" s="5"/>
      <c r="G622" s="1" t="str">
        <f>IF(OR(ISERROR(SEARCH("recipiente",A622))=FALSE, ISERROR(SEARCH("serbatoio",A622))=FALSE, ISERROR(SEARCH("scambiatore",A622))=FALSE),
    IF(D622*E622&gt;3000,"IV",
        IF(D622*E622&gt;1000,"III",
            IF(D622*E622&gt;200,"II",
                IF(D622*E622&gt;50,"I","")
            )
        )
    ),
    IF(ISERROR(SEARCH("valvola di sicurezza",A622))=FALSE,"IV","")
)</f>
        <v/>
      </c>
    </row>
    <row r="623" spans="1:7" x14ac:dyDescent="0.3">
      <c r="A623" t="s">
        <v>65</v>
      </c>
      <c r="B623" t="s">
        <v>377</v>
      </c>
      <c r="C623" s="2" t="s">
        <v>531</v>
      </c>
      <c r="D623" s="1">
        <v>13240</v>
      </c>
      <c r="E623" s="1">
        <v>12</v>
      </c>
      <c r="F623" s="5"/>
      <c r="G623" s="1" t="str">
        <f>IF(OR(ISERROR(SEARCH("recipiente",A623))=FALSE, ISERROR(SEARCH("serbatoio",A623))=FALSE, ISERROR(SEARCH("scambiatore",A623))=FALSE),
    IF(D623*E623&gt;3000,"IV",
        IF(D623*E623&gt;1000,"III",
            IF(D623*E623&gt;200,"II",
                IF(D623*E623&gt;50,"I","")
            )
        )
    ),
    IF(ISERROR(SEARCH("valvola di sicurezza",A623))=FALSE,"IV","")
)</f>
        <v/>
      </c>
    </row>
    <row r="624" spans="1:7" x14ac:dyDescent="0.3">
      <c r="A624" t="s">
        <v>65</v>
      </c>
      <c r="B624" t="s">
        <v>377</v>
      </c>
      <c r="C624" s="2" t="s">
        <v>532</v>
      </c>
      <c r="D624" s="1">
        <v>10820</v>
      </c>
      <c r="E624" s="1">
        <v>12</v>
      </c>
      <c r="F624" s="5"/>
      <c r="G624" s="1" t="str">
        <f>IF(OR(ISERROR(SEARCH("recipiente",A624))=FALSE, ISERROR(SEARCH("serbatoio",A624))=FALSE, ISERROR(SEARCH("scambiatore",A624))=FALSE),
    IF(D624*E624&gt;3000,"IV",
        IF(D624*E624&gt;1000,"III",
            IF(D624*E624&gt;200,"II",
                IF(D624*E624&gt;50,"I","")
            )
        )
    ),
    IF(ISERROR(SEARCH("valvola di sicurezza",A624))=FALSE,"IV","")
)</f>
        <v/>
      </c>
    </row>
    <row r="625" spans="1:7" x14ac:dyDescent="0.3">
      <c r="A625" t="s">
        <v>65</v>
      </c>
      <c r="B625" t="s">
        <v>377</v>
      </c>
      <c r="C625" s="2" t="s">
        <v>533</v>
      </c>
      <c r="D625" s="1">
        <v>13390</v>
      </c>
      <c r="E625" s="1">
        <v>9</v>
      </c>
      <c r="F625" s="5"/>
      <c r="G625" s="1" t="str">
        <f>IF(OR(ISERROR(SEARCH("recipiente",A625))=FALSE, ISERROR(SEARCH("serbatoio",A625))=FALSE, ISERROR(SEARCH("scambiatore",A625))=FALSE),
    IF(D625*E625&gt;3000,"IV",
        IF(D625*E625&gt;1000,"III",
            IF(D625*E625&gt;200,"II",
                IF(D625*E625&gt;50,"I","")
            )
        )
    ),
    IF(ISERROR(SEARCH("valvola di sicurezza",A625))=FALSE,"IV","")
)</f>
        <v/>
      </c>
    </row>
    <row r="626" spans="1:7" x14ac:dyDescent="0.3">
      <c r="A626" t="s">
        <v>65</v>
      </c>
      <c r="B626" t="s">
        <v>377</v>
      </c>
      <c r="C626" s="2" t="s">
        <v>534</v>
      </c>
      <c r="D626" s="1">
        <v>8660</v>
      </c>
      <c r="E626" s="1">
        <v>15</v>
      </c>
      <c r="F626" s="5"/>
      <c r="G626" s="1" t="str">
        <f>IF(OR(ISERROR(SEARCH("recipiente",A626))=FALSE, ISERROR(SEARCH("serbatoio",A626))=FALSE, ISERROR(SEARCH("scambiatore",A626))=FALSE),
    IF(D626*E626&gt;3000,"IV",
        IF(D626*E626&gt;1000,"III",
            IF(D626*E626&gt;200,"II",
                IF(D626*E626&gt;50,"I","")
            )
        )
    ),
    IF(ISERROR(SEARCH("valvola di sicurezza",A626))=FALSE,"IV","")
)</f>
        <v/>
      </c>
    </row>
    <row r="627" spans="1:7" x14ac:dyDescent="0.3">
      <c r="A627" t="s">
        <v>65</v>
      </c>
      <c r="B627" t="s">
        <v>377</v>
      </c>
      <c r="C627" s="2" t="s">
        <v>535</v>
      </c>
      <c r="D627" s="1">
        <v>14300</v>
      </c>
      <c r="E627" s="1">
        <v>7.5</v>
      </c>
      <c r="F627" s="5"/>
      <c r="G627" s="1" t="str">
        <f>IF(OR(ISERROR(SEARCH("recipiente",A627))=FALSE, ISERROR(SEARCH("serbatoio",A627))=FALSE, ISERROR(SEARCH("scambiatore",A627))=FALSE),
    IF(D627*E627&gt;3000,"IV",
        IF(D627*E627&gt;1000,"III",
            IF(D627*E627&gt;200,"II",
                IF(D627*E627&gt;50,"I","")
            )
        )
    ),
    IF(ISERROR(SEARCH("valvola di sicurezza",A627))=FALSE,"IV","")
)</f>
        <v/>
      </c>
    </row>
    <row r="628" spans="1:7" x14ac:dyDescent="0.3">
      <c r="A628" t="s">
        <v>65</v>
      </c>
      <c r="B628" t="s">
        <v>377</v>
      </c>
      <c r="C628" s="2" t="s">
        <v>536</v>
      </c>
      <c r="D628" s="1">
        <v>8900</v>
      </c>
      <c r="E628" s="1">
        <v>13</v>
      </c>
      <c r="F628" s="5"/>
      <c r="G628" s="1" t="str">
        <f>IF(OR(ISERROR(SEARCH("recipiente",A628))=FALSE, ISERROR(SEARCH("serbatoio",A628))=FALSE, ISERROR(SEARCH("scambiatore",A628))=FALSE),
    IF(D628*E628&gt;3000,"IV",
        IF(D628*E628&gt;1000,"III",
            IF(D628*E628&gt;200,"II",
                IF(D628*E628&gt;50,"I","")
            )
        )
    ),
    IF(ISERROR(SEARCH("valvola di sicurezza",A628))=FALSE,"IV","")
)</f>
        <v/>
      </c>
    </row>
    <row r="629" spans="1:7" x14ac:dyDescent="0.3">
      <c r="A629" t="s">
        <v>65</v>
      </c>
      <c r="B629" t="s">
        <v>377</v>
      </c>
      <c r="C629" s="2" t="s">
        <v>537</v>
      </c>
      <c r="D629" s="1">
        <v>12200</v>
      </c>
      <c r="E629" s="1">
        <v>10</v>
      </c>
      <c r="F629" s="5"/>
      <c r="G629" s="1" t="str">
        <f>IF(OR(ISERROR(SEARCH("recipiente",A629))=FALSE, ISERROR(SEARCH("serbatoio",A629))=FALSE, ISERROR(SEARCH("scambiatore",A629))=FALSE),
    IF(D629*E629&gt;3000,"IV",
        IF(D629*E629&gt;1000,"III",
            IF(D629*E629&gt;200,"II",
                IF(D629*E629&gt;50,"I","")
            )
        )
    ),
    IF(ISERROR(SEARCH("valvola di sicurezza",A629))=FALSE,"IV","")
)</f>
        <v/>
      </c>
    </row>
    <row r="630" spans="1:7" x14ac:dyDescent="0.3">
      <c r="A630" t="s">
        <v>65</v>
      </c>
      <c r="B630" t="s">
        <v>377</v>
      </c>
      <c r="C630" s="2" t="s">
        <v>538</v>
      </c>
      <c r="D630" s="1">
        <v>17800</v>
      </c>
      <c r="E630" s="1">
        <v>8.5</v>
      </c>
      <c r="F630" s="5"/>
      <c r="G630" s="1" t="str">
        <f>IF(OR(ISERROR(SEARCH("recipiente",A630))=FALSE, ISERROR(SEARCH("serbatoio",A630))=FALSE, ISERROR(SEARCH("scambiatore",A630))=FALSE),
    IF(D630*E630&gt;3000,"IV",
        IF(D630*E630&gt;1000,"III",
            IF(D630*E630&gt;200,"II",
                IF(D630*E630&gt;50,"I","")
            )
        )
    ),
    IF(ISERROR(SEARCH("valvola di sicurezza",A630))=FALSE,"IV","")
)</f>
        <v/>
      </c>
    </row>
    <row r="631" spans="1:7" x14ac:dyDescent="0.3">
      <c r="A631" t="s">
        <v>65</v>
      </c>
      <c r="B631" t="s">
        <v>377</v>
      </c>
      <c r="C631" s="2" t="s">
        <v>539</v>
      </c>
      <c r="D631" s="1">
        <v>17500</v>
      </c>
      <c r="E631" s="1">
        <v>8.5</v>
      </c>
      <c r="F631" s="5"/>
      <c r="G631" s="1" t="str">
        <f>IF(OR(ISERROR(SEARCH("recipiente",A631))=FALSE, ISERROR(SEARCH("serbatoio",A631))=FALSE, ISERROR(SEARCH("scambiatore",A631))=FALSE),
    IF(D631*E631&gt;3000,"IV",
        IF(D631*E631&gt;1000,"III",
            IF(D631*E631&gt;200,"II",
                IF(D631*E631&gt;50,"I","")
            )
        )
    ),
    IF(ISERROR(SEARCH("valvola di sicurezza",A631))=FALSE,"IV","")
)</f>
        <v/>
      </c>
    </row>
    <row r="632" spans="1:7" x14ac:dyDescent="0.3">
      <c r="A632" t="s">
        <v>65</v>
      </c>
      <c r="B632" t="s">
        <v>377</v>
      </c>
      <c r="C632" s="2" t="s">
        <v>540</v>
      </c>
      <c r="D632" s="1">
        <v>14540</v>
      </c>
      <c r="E632" s="1">
        <v>12</v>
      </c>
      <c r="F632" s="5"/>
      <c r="G632" s="1" t="str">
        <f>IF(OR(ISERROR(SEARCH("recipiente",A632))=FALSE, ISERROR(SEARCH("serbatoio",A632))=FALSE, ISERROR(SEARCH("scambiatore",A632))=FALSE),
    IF(D632*E632&gt;3000,"IV",
        IF(D632*E632&gt;1000,"III",
            IF(D632*E632&gt;200,"II",
                IF(D632*E632&gt;50,"I","")
            )
        )
    ),
    IF(ISERROR(SEARCH("valvola di sicurezza",A632))=FALSE,"IV","")
)</f>
        <v/>
      </c>
    </row>
    <row r="633" spans="1:7" x14ac:dyDescent="0.3">
      <c r="A633" t="s">
        <v>65</v>
      </c>
      <c r="B633" t="s">
        <v>377</v>
      </c>
      <c r="C633" s="2" t="s">
        <v>541</v>
      </c>
      <c r="D633" s="1">
        <v>12050</v>
      </c>
      <c r="E633" s="1">
        <v>13</v>
      </c>
      <c r="F633" s="5"/>
      <c r="G633" s="1" t="str">
        <f>IF(OR(ISERROR(SEARCH("recipiente",A633))=FALSE, ISERROR(SEARCH("serbatoio",A633))=FALSE, ISERROR(SEARCH("scambiatore",A633))=FALSE),
    IF(D633*E633&gt;3000,"IV",
        IF(D633*E633&gt;1000,"III",
            IF(D633*E633&gt;200,"II",
                IF(D633*E633&gt;50,"I","")
            )
        )
    ),
    IF(ISERROR(SEARCH("valvola di sicurezza",A633))=FALSE,"IV","")
)</f>
        <v/>
      </c>
    </row>
    <row r="634" spans="1:7" x14ac:dyDescent="0.3">
      <c r="A634" t="s">
        <v>65</v>
      </c>
      <c r="B634" t="s">
        <v>377</v>
      </c>
      <c r="C634" s="2" t="s">
        <v>542</v>
      </c>
      <c r="D634" s="1">
        <v>16100</v>
      </c>
      <c r="E634" s="1">
        <v>8.5</v>
      </c>
      <c r="F634" s="5"/>
      <c r="G634" s="1" t="str">
        <f>IF(OR(ISERROR(SEARCH("recipiente",A634))=FALSE, ISERROR(SEARCH("serbatoio",A634))=FALSE, ISERROR(SEARCH("scambiatore",A634))=FALSE),
    IF(D634*E634&gt;3000,"IV",
        IF(D634*E634&gt;1000,"III",
            IF(D634*E634&gt;200,"II",
                IF(D634*E634&gt;50,"I","")
            )
        )
    ),
    IF(ISERROR(SEARCH("valvola di sicurezza",A634))=FALSE,"IV","")
)</f>
        <v/>
      </c>
    </row>
    <row r="635" spans="1:7" x14ac:dyDescent="0.3">
      <c r="A635" t="s">
        <v>65</v>
      </c>
      <c r="B635" t="s">
        <v>377</v>
      </c>
      <c r="C635" s="2" t="s">
        <v>543</v>
      </c>
      <c r="D635" s="1">
        <v>11490</v>
      </c>
      <c r="E635" s="1">
        <v>13</v>
      </c>
      <c r="F635" s="5"/>
      <c r="G635" s="1" t="str">
        <f>IF(OR(ISERROR(SEARCH("recipiente",A635))=FALSE, ISERROR(SEARCH("serbatoio",A635))=FALSE, ISERROR(SEARCH("scambiatore",A635))=FALSE),
    IF(D635*E635&gt;3000,"IV",
        IF(D635*E635&gt;1000,"III",
            IF(D635*E635&gt;200,"II",
                IF(D635*E635&gt;50,"I","")
            )
        )
    ),
    IF(ISERROR(SEARCH("valvola di sicurezza",A635))=FALSE,"IV","")
)</f>
        <v/>
      </c>
    </row>
    <row r="636" spans="1:7" x14ac:dyDescent="0.3">
      <c r="A636" t="s">
        <v>65</v>
      </c>
      <c r="B636" t="s">
        <v>377</v>
      </c>
      <c r="C636" s="2" t="s">
        <v>544</v>
      </c>
      <c r="D636" s="1">
        <v>1353</v>
      </c>
      <c r="E636" s="1">
        <v>10</v>
      </c>
      <c r="F636" s="5"/>
      <c r="G636" s="1" t="str">
        <f>IF(OR(ISERROR(SEARCH("recipiente",A636))=FALSE, ISERROR(SEARCH("serbatoio",A636))=FALSE, ISERROR(SEARCH("scambiatore",A636))=FALSE),
    IF(D636*E636&gt;3000,"IV",
        IF(D636*E636&gt;1000,"III",
            IF(D636*E636&gt;200,"II",
                IF(D636*E636&gt;50,"I","")
            )
        )
    ),
    IF(ISERROR(SEARCH("valvola di sicurezza",A636))=FALSE,"IV","")
)</f>
        <v/>
      </c>
    </row>
    <row r="637" spans="1:7" x14ac:dyDescent="0.3">
      <c r="A637" t="s">
        <v>65</v>
      </c>
      <c r="B637" t="s">
        <v>377</v>
      </c>
      <c r="C637" s="2" t="s">
        <v>545</v>
      </c>
      <c r="D637" s="1">
        <v>17000</v>
      </c>
      <c r="E637" s="1"/>
      <c r="F637" s="5"/>
      <c r="G637" s="1" t="str">
        <f>IF(OR(ISERROR(SEARCH("recipiente",A637))=FALSE, ISERROR(SEARCH("serbatoio",A637))=FALSE, ISERROR(SEARCH("scambiatore",A637))=FALSE),
    IF(D637*E637&gt;3000,"IV",
        IF(D637*E637&gt;1000,"III",
            IF(D637*E637&gt;200,"II",
                IF(D637*E637&gt;50,"I","")
            )
        )
    ),
    IF(ISERROR(SEARCH("valvola di sicurezza",A637))=FALSE,"IV","")
)</f>
        <v/>
      </c>
    </row>
    <row r="638" spans="1:7" x14ac:dyDescent="0.3">
      <c r="A638" t="s">
        <v>65</v>
      </c>
      <c r="B638" t="s">
        <v>377</v>
      </c>
      <c r="C638" s="2" t="s">
        <v>546</v>
      </c>
      <c r="D638" s="1">
        <v>13170</v>
      </c>
      <c r="E638" s="1">
        <v>7.5</v>
      </c>
      <c r="F638" s="5"/>
      <c r="G638" s="1" t="str">
        <f>IF(OR(ISERROR(SEARCH("recipiente",A638))=FALSE, ISERROR(SEARCH("serbatoio",A638))=FALSE, ISERROR(SEARCH("scambiatore",A638))=FALSE),
    IF(D638*E638&gt;3000,"IV",
        IF(D638*E638&gt;1000,"III",
            IF(D638*E638&gt;200,"II",
                IF(D638*E638&gt;50,"I","")
            )
        )
    ),
    IF(ISERROR(SEARCH("valvola di sicurezza",A638))=FALSE,"IV","")
)</f>
        <v/>
      </c>
    </row>
    <row r="639" spans="1:7" x14ac:dyDescent="0.3">
      <c r="A639" t="s">
        <v>65</v>
      </c>
      <c r="B639" t="s">
        <v>377</v>
      </c>
      <c r="C639" s="2" t="s">
        <v>547</v>
      </c>
      <c r="D639" s="1">
        <v>9730</v>
      </c>
      <c r="E639" s="1">
        <v>13</v>
      </c>
      <c r="F639" s="5"/>
      <c r="G639" s="1" t="str">
        <f>IF(OR(ISERROR(SEARCH("recipiente",A639))=FALSE, ISERROR(SEARCH("serbatoio",A639))=FALSE, ISERROR(SEARCH("scambiatore",A639))=FALSE),
    IF(D639*E639&gt;3000,"IV",
        IF(D639*E639&gt;1000,"III",
            IF(D639*E639&gt;200,"II",
                IF(D639*E639&gt;50,"I","")
            )
        )
    ),
    IF(ISERROR(SEARCH("valvola di sicurezza",A639))=FALSE,"IV","")
)</f>
        <v/>
      </c>
    </row>
    <row r="640" spans="1:7" x14ac:dyDescent="0.3">
      <c r="A640" t="s">
        <v>65</v>
      </c>
      <c r="B640" t="s">
        <v>377</v>
      </c>
      <c r="C640" s="2" t="s">
        <v>548</v>
      </c>
      <c r="D640" s="1">
        <v>11330</v>
      </c>
      <c r="E640" s="1">
        <v>10</v>
      </c>
      <c r="F640" s="5"/>
      <c r="G640" s="1" t="str">
        <f>IF(OR(ISERROR(SEARCH("recipiente",A640))=FALSE, ISERROR(SEARCH("serbatoio",A640))=FALSE, ISERROR(SEARCH("scambiatore",A640))=FALSE),
    IF(D640*E640&gt;3000,"IV",
        IF(D640*E640&gt;1000,"III",
            IF(D640*E640&gt;200,"II",
                IF(D640*E640&gt;50,"I","")
            )
        )
    ),
    IF(ISERROR(SEARCH("valvola di sicurezza",A640))=FALSE,"IV","")
)</f>
        <v/>
      </c>
    </row>
    <row r="641" spans="1:7" x14ac:dyDescent="0.3">
      <c r="A641" t="s">
        <v>65</v>
      </c>
      <c r="B641" t="s">
        <v>377</v>
      </c>
      <c r="C641" s="2" t="s">
        <v>549</v>
      </c>
      <c r="D641" s="1">
        <v>13640</v>
      </c>
      <c r="E641" s="1">
        <v>8.5</v>
      </c>
      <c r="F641" s="5"/>
      <c r="G641" s="1" t="str">
        <f>IF(OR(ISERROR(SEARCH("recipiente",A641))=FALSE, ISERROR(SEARCH("serbatoio",A641))=FALSE, ISERROR(SEARCH("scambiatore",A641))=FALSE),
    IF(D641*E641&gt;3000,"IV",
        IF(D641*E641&gt;1000,"III",
            IF(D641*E641&gt;200,"II",
                IF(D641*E641&gt;50,"I","")
            )
        )
    ),
    IF(ISERROR(SEARCH("valvola di sicurezza",A641))=FALSE,"IV","")
)</f>
        <v/>
      </c>
    </row>
    <row r="642" spans="1:7" x14ac:dyDescent="0.3">
      <c r="A642" t="s">
        <v>65</v>
      </c>
      <c r="B642" t="s">
        <v>377</v>
      </c>
      <c r="C642" s="2" t="s">
        <v>550</v>
      </c>
      <c r="D642" s="1">
        <v>9860</v>
      </c>
      <c r="E642" s="1">
        <v>15</v>
      </c>
      <c r="F642" s="5"/>
      <c r="G642" s="1" t="str">
        <f>IF(OR(ISERROR(SEARCH("recipiente",A642))=FALSE, ISERROR(SEARCH("serbatoio",A642))=FALSE, ISERROR(SEARCH("scambiatore",A642))=FALSE),
    IF(D642*E642&gt;3000,"IV",
        IF(D642*E642&gt;1000,"III",
            IF(D642*E642&gt;200,"II",
                IF(D642*E642&gt;50,"I","")
            )
        )
    ),
    IF(ISERROR(SEARCH("valvola di sicurezza",A642))=FALSE,"IV","")
)</f>
        <v/>
      </c>
    </row>
    <row r="643" spans="1:7" x14ac:dyDescent="0.3">
      <c r="A643" t="s">
        <v>65</v>
      </c>
      <c r="B643" t="s">
        <v>377</v>
      </c>
      <c r="C643" s="2" t="s">
        <v>551</v>
      </c>
      <c r="D643" s="1">
        <v>11830</v>
      </c>
      <c r="E643" s="1">
        <v>12</v>
      </c>
      <c r="F643" s="5"/>
      <c r="G643" s="1" t="str">
        <f>IF(OR(ISERROR(SEARCH("recipiente",A643))=FALSE, ISERROR(SEARCH("serbatoio",A643))=FALSE, ISERROR(SEARCH("scambiatore",A643))=FALSE),
    IF(D643*E643&gt;3000,"IV",
        IF(D643*E643&gt;1000,"III",
            IF(D643*E643&gt;200,"II",
                IF(D643*E643&gt;50,"I","")
            )
        )
    ),
    IF(ISERROR(SEARCH("valvola di sicurezza",A643))=FALSE,"IV","")
)</f>
        <v/>
      </c>
    </row>
    <row r="644" spans="1:7" x14ac:dyDescent="0.3">
      <c r="A644" t="s">
        <v>65</v>
      </c>
      <c r="B644" t="s">
        <v>377</v>
      </c>
      <c r="C644" s="2" t="s">
        <v>552</v>
      </c>
      <c r="D644" s="1">
        <v>13700</v>
      </c>
      <c r="E644" s="1">
        <v>8</v>
      </c>
      <c r="F644" s="5"/>
      <c r="G644" s="1" t="str">
        <f>IF(OR(ISERROR(SEARCH("recipiente",A644))=FALSE, ISERROR(SEARCH("serbatoio",A644))=FALSE, ISERROR(SEARCH("scambiatore",A644))=FALSE),
    IF(D644*E644&gt;3000,"IV",
        IF(D644*E644&gt;1000,"III",
            IF(D644*E644&gt;200,"II",
                IF(D644*E644&gt;50,"I","")
            )
        )
    ),
    IF(ISERROR(SEARCH("valvola di sicurezza",A644))=FALSE,"IV","")
)</f>
        <v/>
      </c>
    </row>
    <row r="645" spans="1:7" x14ac:dyDescent="0.3">
      <c r="A645" t="s">
        <v>65</v>
      </c>
      <c r="B645" t="s">
        <v>377</v>
      </c>
      <c r="C645" s="2" t="s">
        <v>553</v>
      </c>
      <c r="D645" s="1">
        <v>9880</v>
      </c>
      <c r="E645" s="1">
        <v>15</v>
      </c>
      <c r="F645" s="5"/>
      <c r="G645" s="1" t="str">
        <f>IF(OR(ISERROR(SEARCH("recipiente",A645))=FALSE, ISERROR(SEARCH("serbatoio",A645))=FALSE, ISERROR(SEARCH("scambiatore",A645))=FALSE),
    IF(D645*E645&gt;3000,"IV",
        IF(D645*E645&gt;1000,"III",
            IF(D645*E645&gt;200,"II",
                IF(D645*E645&gt;50,"I","")
            )
        )
    ),
    IF(ISERROR(SEARCH("valvola di sicurezza",A645))=FALSE,"IV","")
)</f>
        <v/>
      </c>
    </row>
    <row r="646" spans="1:7" x14ac:dyDescent="0.3">
      <c r="A646" t="s">
        <v>65</v>
      </c>
      <c r="B646" t="s">
        <v>377</v>
      </c>
      <c r="C646" s="2" t="s">
        <v>554</v>
      </c>
      <c r="D646" s="1">
        <v>11860</v>
      </c>
      <c r="E646" s="1">
        <v>11</v>
      </c>
      <c r="F646" s="5"/>
      <c r="G646" s="1" t="str">
        <f>IF(OR(ISERROR(SEARCH("recipiente",A646))=FALSE, ISERROR(SEARCH("serbatoio",A646))=FALSE, ISERROR(SEARCH("scambiatore",A646))=FALSE),
    IF(D646*E646&gt;3000,"IV",
        IF(D646*E646&gt;1000,"III",
            IF(D646*E646&gt;200,"II",
                IF(D646*E646&gt;50,"I","")
            )
        )
    ),
    IF(ISERROR(SEARCH("valvola di sicurezza",A646))=FALSE,"IV","")
)</f>
        <v/>
      </c>
    </row>
    <row r="647" spans="1:7" x14ac:dyDescent="0.3">
      <c r="A647" t="s">
        <v>65</v>
      </c>
      <c r="B647" t="s">
        <v>377</v>
      </c>
      <c r="C647" s="2" t="s">
        <v>555</v>
      </c>
      <c r="D647" s="1">
        <v>8080</v>
      </c>
      <c r="E647" s="1">
        <v>8.5</v>
      </c>
      <c r="F647" s="5"/>
      <c r="G647" s="1" t="str">
        <f>IF(OR(ISERROR(SEARCH("recipiente",A647))=FALSE, ISERROR(SEARCH("serbatoio",A647))=FALSE, ISERROR(SEARCH("scambiatore",A647))=FALSE),
    IF(D647*E647&gt;3000,"IV",
        IF(D647*E647&gt;1000,"III",
            IF(D647*E647&gt;200,"II",
                IF(D647*E647&gt;50,"I","")
            )
        )
    ),
    IF(ISERROR(SEARCH("valvola di sicurezza",A647))=FALSE,"IV","")
)</f>
        <v/>
      </c>
    </row>
    <row r="648" spans="1:7" x14ac:dyDescent="0.3">
      <c r="A648" t="s">
        <v>65</v>
      </c>
      <c r="B648" t="s">
        <v>377</v>
      </c>
      <c r="C648" s="2" t="s">
        <v>556</v>
      </c>
      <c r="D648" s="1">
        <v>5920</v>
      </c>
      <c r="E648" s="1">
        <v>15</v>
      </c>
      <c r="F648" s="5"/>
      <c r="G648" s="1" t="str">
        <f>IF(OR(ISERROR(SEARCH("recipiente",A648))=FALSE, ISERROR(SEARCH("serbatoio",A648))=FALSE, ISERROR(SEARCH("scambiatore",A648))=FALSE),
    IF(D648*E648&gt;3000,"IV",
        IF(D648*E648&gt;1000,"III",
            IF(D648*E648&gt;200,"II",
                IF(D648*E648&gt;50,"I","")
            )
        )
    ),
    IF(ISERROR(SEARCH("valvola di sicurezza",A648))=FALSE,"IV","")
)</f>
        <v/>
      </c>
    </row>
    <row r="649" spans="1:7" x14ac:dyDescent="0.3">
      <c r="A649" t="s">
        <v>65</v>
      </c>
      <c r="B649" t="s">
        <v>377</v>
      </c>
      <c r="C649" s="2" t="s">
        <v>557</v>
      </c>
      <c r="D649" s="1">
        <v>6910</v>
      </c>
      <c r="E649" s="1">
        <v>12</v>
      </c>
      <c r="F649" s="5"/>
      <c r="G649" s="1" t="str">
        <f>IF(OR(ISERROR(SEARCH("recipiente",A649))=FALSE, ISERROR(SEARCH("serbatoio",A649))=FALSE, ISERROR(SEARCH("scambiatore",A649))=FALSE),
    IF(D649*E649&gt;3000,"IV",
        IF(D649*E649&gt;1000,"III",
            IF(D649*E649&gt;200,"II",
                IF(D649*E649&gt;50,"I","")
            )
        )
    ),
    IF(ISERROR(SEARCH("valvola di sicurezza",A649))=FALSE,"IV","")
)</f>
        <v/>
      </c>
    </row>
    <row r="650" spans="1:7" x14ac:dyDescent="0.3">
      <c r="A650" t="s">
        <v>65</v>
      </c>
      <c r="B650" t="s">
        <v>377</v>
      </c>
      <c r="C650" s="2" t="s">
        <v>558</v>
      </c>
      <c r="D650" s="1">
        <v>8260</v>
      </c>
      <c r="E650" s="1">
        <v>8.5</v>
      </c>
      <c r="F650" s="5"/>
      <c r="G650" s="1" t="str">
        <f>IF(OR(ISERROR(SEARCH("recipiente",A650))=FALSE, ISERROR(SEARCH("serbatoio",A650))=FALSE, ISERROR(SEARCH("scambiatore",A650))=FALSE),
    IF(D650*E650&gt;3000,"IV",
        IF(D650*E650&gt;1000,"III",
            IF(D650*E650&gt;200,"II",
                IF(D650*E650&gt;50,"I","")
            )
        )
    ),
    IF(ISERROR(SEARCH("valvola di sicurezza",A650))=FALSE,"IV","")
)</f>
        <v/>
      </c>
    </row>
    <row r="651" spans="1:7" x14ac:dyDescent="0.3">
      <c r="A651" t="s">
        <v>65</v>
      </c>
      <c r="B651" t="s">
        <v>377</v>
      </c>
      <c r="C651" s="2" t="s">
        <v>559</v>
      </c>
      <c r="D651" s="1">
        <v>5500</v>
      </c>
      <c r="E651" s="1">
        <v>15</v>
      </c>
      <c r="F651" s="5"/>
      <c r="G651" s="1" t="str">
        <f>IF(OR(ISERROR(SEARCH("recipiente",A651))=FALSE, ISERROR(SEARCH("serbatoio",A651))=FALSE, ISERROR(SEARCH("scambiatore",A651))=FALSE),
    IF(D651*E651&gt;3000,"IV",
        IF(D651*E651&gt;1000,"III",
            IF(D651*E651&gt;200,"II",
                IF(D651*E651&gt;50,"I","")
            )
        )
    ),
    IF(ISERROR(SEARCH("valvola di sicurezza",A651))=FALSE,"IV","")
)</f>
        <v/>
      </c>
    </row>
    <row r="652" spans="1:7" x14ac:dyDescent="0.3">
      <c r="A652" t="s">
        <v>65</v>
      </c>
      <c r="B652" t="s">
        <v>377</v>
      </c>
      <c r="C652" s="2" t="s">
        <v>560</v>
      </c>
      <c r="D652" s="1">
        <v>6890</v>
      </c>
      <c r="E652" s="1">
        <v>12</v>
      </c>
      <c r="F652" s="5"/>
      <c r="G652" s="1" t="str">
        <f>IF(OR(ISERROR(SEARCH("recipiente",A652))=FALSE, ISERROR(SEARCH("serbatoio",A652))=FALSE, ISERROR(SEARCH("scambiatore",A652))=FALSE),
    IF(D652*E652&gt;3000,"IV",
        IF(D652*E652&gt;1000,"III",
            IF(D652*E652&gt;200,"II",
                IF(D652*E652&gt;50,"I","")
            )
        )
    ),
    IF(ISERROR(SEARCH("valvola di sicurezza",A652))=FALSE,"IV","")
)</f>
        <v/>
      </c>
    </row>
    <row r="653" spans="1:7" x14ac:dyDescent="0.3">
      <c r="A653" t="s">
        <v>65</v>
      </c>
      <c r="B653" t="s">
        <v>377</v>
      </c>
      <c r="C653" s="2" t="s">
        <v>561</v>
      </c>
      <c r="D653" s="1">
        <v>8250</v>
      </c>
      <c r="E653" s="1">
        <v>8.25</v>
      </c>
      <c r="F653" s="5"/>
      <c r="G653" s="1" t="str">
        <f>IF(OR(ISERROR(SEARCH("recipiente",A653))=FALSE, ISERROR(SEARCH("serbatoio",A653))=FALSE, ISERROR(SEARCH("scambiatore",A653))=FALSE),
    IF(D653*E653&gt;3000,"IV",
        IF(D653*E653&gt;1000,"III",
            IF(D653*E653&gt;200,"II",
                IF(D653*E653&gt;50,"I","")
            )
        )
    ),
    IF(ISERROR(SEARCH("valvola di sicurezza",A653))=FALSE,"IV","")
)</f>
        <v/>
      </c>
    </row>
    <row r="654" spans="1:7" x14ac:dyDescent="0.3">
      <c r="A654" t="s">
        <v>65</v>
      </c>
      <c r="B654" t="s">
        <v>377</v>
      </c>
      <c r="C654" s="2" t="s">
        <v>562</v>
      </c>
      <c r="D654" s="1">
        <v>5500</v>
      </c>
      <c r="E654" s="1">
        <v>15</v>
      </c>
      <c r="F654" s="5"/>
      <c r="G654" s="1" t="str">
        <f>IF(OR(ISERROR(SEARCH("recipiente",A654))=FALSE, ISERROR(SEARCH("serbatoio",A654))=FALSE, ISERROR(SEARCH("scambiatore",A654))=FALSE),
    IF(D654*E654&gt;3000,"IV",
        IF(D654*E654&gt;1000,"III",
            IF(D654*E654&gt;200,"II",
                IF(D654*E654&gt;50,"I","")
            )
        )
    ),
    IF(ISERROR(SEARCH("valvola di sicurezza",A654))=FALSE,"IV","")
)</f>
        <v/>
      </c>
    </row>
    <row r="655" spans="1:7" x14ac:dyDescent="0.3">
      <c r="A655" t="s">
        <v>65</v>
      </c>
      <c r="B655" t="s">
        <v>377</v>
      </c>
      <c r="C655" s="2" t="s">
        <v>563</v>
      </c>
      <c r="D655" s="1">
        <v>6900</v>
      </c>
      <c r="E655" s="1">
        <v>11</v>
      </c>
      <c r="F655" s="5"/>
      <c r="G655" s="1" t="str">
        <f>IF(OR(ISERROR(SEARCH("recipiente",A655))=FALSE, ISERROR(SEARCH("serbatoio",A655))=FALSE, ISERROR(SEARCH("scambiatore",A655))=FALSE),
    IF(D655*E655&gt;3000,"IV",
        IF(D655*E655&gt;1000,"III",
            IF(D655*E655&gt;200,"II",
                IF(D655*E655&gt;50,"I","")
            )
        )
    ),
    IF(ISERROR(SEARCH("valvola di sicurezza",A655))=FALSE,"IV","")
)</f>
        <v/>
      </c>
    </row>
    <row r="656" spans="1:7" x14ac:dyDescent="0.3">
      <c r="A656" t="s">
        <v>65</v>
      </c>
      <c r="B656" t="s">
        <v>377</v>
      </c>
      <c r="C656" s="2" t="s">
        <v>564</v>
      </c>
      <c r="D656" s="1">
        <v>11230</v>
      </c>
      <c r="E656" s="1">
        <v>12</v>
      </c>
      <c r="F656" s="5"/>
      <c r="G656" s="1" t="str">
        <f>IF(OR(ISERROR(SEARCH("recipiente",A656))=FALSE, ISERROR(SEARCH("serbatoio",A656))=FALSE, ISERROR(SEARCH("scambiatore",A656))=FALSE),
    IF(D656*E656&gt;3000,"IV",
        IF(D656*E656&gt;1000,"III",
            IF(D656*E656&gt;200,"II",
                IF(D656*E656&gt;50,"I","")
            )
        )
    ),
    IF(ISERROR(SEARCH("valvola di sicurezza",A656))=FALSE,"IV","")
)</f>
        <v/>
      </c>
    </row>
    <row r="657" spans="1:7" x14ac:dyDescent="0.3">
      <c r="A657" t="s">
        <v>65</v>
      </c>
      <c r="B657" t="s">
        <v>377</v>
      </c>
      <c r="C657" s="2" t="s">
        <v>565</v>
      </c>
      <c r="D657" s="1">
        <v>11570</v>
      </c>
      <c r="E657" s="1">
        <v>8.5</v>
      </c>
      <c r="F657" s="5"/>
      <c r="G657" s="1" t="str">
        <f>IF(OR(ISERROR(SEARCH("recipiente",A657))=FALSE, ISERROR(SEARCH("serbatoio",A657))=FALSE, ISERROR(SEARCH("scambiatore",A657))=FALSE),
    IF(D657*E657&gt;3000,"IV",
        IF(D657*E657&gt;1000,"III",
            IF(D657*E657&gt;200,"II",
                IF(D657*E657&gt;50,"I","")
            )
        )
    ),
    IF(ISERROR(SEARCH("valvola di sicurezza",A657))=FALSE,"IV","")
)</f>
        <v/>
      </c>
    </row>
    <row r="658" spans="1:7" x14ac:dyDescent="0.3">
      <c r="A658" t="s">
        <v>65</v>
      </c>
      <c r="B658" t="s">
        <v>377</v>
      </c>
      <c r="C658" s="2" t="s">
        <v>566</v>
      </c>
      <c r="D658" s="1">
        <v>9140</v>
      </c>
      <c r="E658" s="1">
        <v>15</v>
      </c>
      <c r="F658" s="5"/>
      <c r="G658" s="1" t="str">
        <f>IF(OR(ISERROR(SEARCH("recipiente",A658))=FALSE, ISERROR(SEARCH("serbatoio",A658))=FALSE, ISERROR(SEARCH("scambiatore",A658))=FALSE),
    IF(D658*E658&gt;3000,"IV",
        IF(D658*E658&gt;1000,"III",
            IF(D658*E658&gt;200,"II",
                IF(D658*E658&gt;50,"I","")
            )
        )
    ),
    IF(ISERROR(SEARCH("valvola di sicurezza",A658))=FALSE,"IV","")
)</f>
        <v/>
      </c>
    </row>
    <row r="659" spans="1:7" x14ac:dyDescent="0.3">
      <c r="A659" t="s">
        <v>65</v>
      </c>
      <c r="B659" t="s">
        <v>377</v>
      </c>
      <c r="C659" s="2" t="s">
        <v>567</v>
      </c>
      <c r="D659" s="1">
        <v>12060</v>
      </c>
      <c r="E659" s="1">
        <v>8.5</v>
      </c>
      <c r="F659" s="5"/>
      <c r="G659" s="1" t="str">
        <f>IF(OR(ISERROR(SEARCH("recipiente",A659))=FALSE, ISERROR(SEARCH("serbatoio",A659))=FALSE, ISERROR(SEARCH("scambiatore",A659))=FALSE),
    IF(D659*E659&gt;3000,"IV",
        IF(D659*E659&gt;1000,"III",
            IF(D659*E659&gt;200,"II",
                IF(D659*E659&gt;50,"I","")
            )
        )
    ),
    IF(ISERROR(SEARCH("valvola di sicurezza",A659))=FALSE,"IV","")
)</f>
        <v/>
      </c>
    </row>
    <row r="660" spans="1:7" x14ac:dyDescent="0.3">
      <c r="A660" t="s">
        <v>65</v>
      </c>
      <c r="B660" t="s">
        <v>377</v>
      </c>
      <c r="C660" s="2" t="s">
        <v>568</v>
      </c>
      <c r="D660" s="1">
        <v>8060</v>
      </c>
      <c r="E660" s="1">
        <v>15</v>
      </c>
      <c r="F660" s="5"/>
      <c r="G660" s="1" t="str">
        <f>IF(OR(ISERROR(SEARCH("recipiente",A660))=FALSE, ISERROR(SEARCH("serbatoio",A660))=FALSE, ISERROR(SEARCH("scambiatore",A660))=FALSE),
    IF(D660*E660&gt;3000,"IV",
        IF(D660*E660&gt;1000,"III",
            IF(D660*E660&gt;200,"II",
                IF(D660*E660&gt;50,"I","")
            )
        )
    ),
    IF(ISERROR(SEARCH("valvola di sicurezza",A660))=FALSE,"IV","")
)</f>
        <v/>
      </c>
    </row>
    <row r="661" spans="1:7" x14ac:dyDescent="0.3">
      <c r="A661" t="s">
        <v>65</v>
      </c>
      <c r="B661" t="s">
        <v>377</v>
      </c>
      <c r="C661" s="2" t="s">
        <v>569</v>
      </c>
      <c r="D661" s="1">
        <v>1090</v>
      </c>
      <c r="E661" s="1">
        <v>10</v>
      </c>
      <c r="F661" s="5"/>
      <c r="G661" s="1" t="str">
        <f>IF(OR(ISERROR(SEARCH("recipiente",A661))=FALSE, ISERROR(SEARCH("serbatoio",A661))=FALSE, ISERROR(SEARCH("scambiatore",A661))=FALSE),
    IF(D661*E661&gt;3000,"IV",
        IF(D661*E661&gt;1000,"III",
            IF(D661*E661&gt;200,"II",
                IF(D661*E661&gt;50,"I","")
            )
        )
    ),
    IF(ISERROR(SEARCH("valvola di sicurezza",A661))=FALSE,"IV","")
)</f>
        <v/>
      </c>
    </row>
    <row r="662" spans="1:7" x14ac:dyDescent="0.3">
      <c r="A662" t="s">
        <v>65</v>
      </c>
      <c r="B662" t="s">
        <v>377</v>
      </c>
      <c r="C662" s="2" t="s">
        <v>570</v>
      </c>
      <c r="D662" s="1">
        <v>12000</v>
      </c>
      <c r="E662" s="1">
        <v>8</v>
      </c>
      <c r="F662" s="5"/>
      <c r="G662" s="1" t="str">
        <f>IF(OR(ISERROR(SEARCH("recipiente",A662))=FALSE, ISERROR(SEARCH("serbatoio",A662))=FALSE, ISERROR(SEARCH("scambiatore",A662))=FALSE),
    IF(D662*E662&gt;3000,"IV",
        IF(D662*E662&gt;1000,"III",
            IF(D662*E662&gt;200,"II",
                IF(D662*E662&gt;50,"I","")
            )
        )
    ),
    IF(ISERROR(SEARCH("valvola di sicurezza",A662))=FALSE,"IV","")
)</f>
        <v/>
      </c>
    </row>
    <row r="663" spans="1:7" x14ac:dyDescent="0.3">
      <c r="A663" t="s">
        <v>65</v>
      </c>
      <c r="B663" t="s">
        <v>377</v>
      </c>
      <c r="C663" s="2" t="s">
        <v>571</v>
      </c>
      <c r="D663" s="1">
        <v>9370</v>
      </c>
      <c r="E663" s="1">
        <v>12</v>
      </c>
      <c r="F663" s="5"/>
      <c r="G663" s="1" t="str">
        <f>IF(OR(ISERROR(SEARCH("recipiente",A663))=FALSE, ISERROR(SEARCH("serbatoio",A663))=FALSE, ISERROR(SEARCH("scambiatore",A663))=FALSE),
    IF(D663*E663&gt;3000,"IV",
        IF(D663*E663&gt;1000,"III",
            IF(D663*E663&gt;200,"II",
                IF(D663*E663&gt;50,"I","")
            )
        )
    ),
    IF(ISERROR(SEARCH("valvola di sicurezza",A663))=FALSE,"IV","")
)</f>
        <v/>
      </c>
    </row>
    <row r="664" spans="1:7" x14ac:dyDescent="0.3">
      <c r="A664" t="s">
        <v>65</v>
      </c>
      <c r="B664" t="s">
        <v>377</v>
      </c>
      <c r="C664" s="2" t="s">
        <v>572</v>
      </c>
      <c r="D664" s="1">
        <v>11410</v>
      </c>
      <c r="E664" s="1">
        <v>8.5</v>
      </c>
      <c r="F664" s="5"/>
      <c r="G664" s="1" t="str">
        <f>IF(OR(ISERROR(SEARCH("recipiente",A664))=FALSE, ISERROR(SEARCH("serbatoio",A664))=FALSE, ISERROR(SEARCH("scambiatore",A664))=FALSE),
    IF(D664*E664&gt;3000,"IV",
        IF(D664*E664&gt;1000,"III",
            IF(D664*E664&gt;200,"II",
                IF(D664*E664&gt;50,"I","")
            )
        )
    ),
    IF(ISERROR(SEARCH("valvola di sicurezza",A664))=FALSE,"IV","")
)</f>
        <v/>
      </c>
    </row>
    <row r="665" spans="1:7" x14ac:dyDescent="0.3">
      <c r="A665" t="s">
        <v>65</v>
      </c>
      <c r="B665" t="s">
        <v>377</v>
      </c>
      <c r="C665" s="2" t="s">
        <v>573</v>
      </c>
      <c r="D665" s="1">
        <v>7250</v>
      </c>
      <c r="E665" s="1">
        <v>15</v>
      </c>
      <c r="F665" s="5"/>
      <c r="G665" s="1" t="str">
        <f>IF(OR(ISERROR(SEARCH("recipiente",A665))=FALSE, ISERROR(SEARCH("serbatoio",A665))=FALSE, ISERROR(SEARCH("scambiatore",A665))=FALSE),
    IF(D665*E665&gt;3000,"IV",
        IF(D665*E665&gt;1000,"III",
            IF(D665*E665&gt;200,"II",
                IF(D665*E665&gt;50,"I","")
            )
        )
    ),
    IF(ISERROR(SEARCH("valvola di sicurezza",A665))=FALSE,"IV","")
)</f>
        <v/>
      </c>
    </row>
    <row r="666" spans="1:7" x14ac:dyDescent="0.3">
      <c r="A666" t="s">
        <v>65</v>
      </c>
      <c r="B666" t="s">
        <v>377</v>
      </c>
      <c r="C666" s="2" t="s">
        <v>574</v>
      </c>
      <c r="D666" s="1">
        <v>9850</v>
      </c>
      <c r="E666" s="1">
        <v>8.5</v>
      </c>
      <c r="F666" s="5"/>
      <c r="G666" s="1" t="str">
        <f>IF(OR(ISERROR(SEARCH("recipiente",A666))=FALSE, ISERROR(SEARCH("serbatoio",A666))=FALSE, ISERROR(SEARCH("scambiatore",A666))=FALSE),
    IF(D666*E666&gt;3000,"IV",
        IF(D666*E666&gt;1000,"III",
            IF(D666*E666&gt;200,"II",
                IF(D666*E666&gt;50,"I","")
            )
        )
    ),
    IF(ISERROR(SEARCH("valvola di sicurezza",A666))=FALSE,"IV","")
)</f>
        <v/>
      </c>
    </row>
    <row r="667" spans="1:7" x14ac:dyDescent="0.3">
      <c r="A667" t="s">
        <v>65</v>
      </c>
      <c r="B667" t="s">
        <v>377</v>
      </c>
      <c r="C667" s="2" t="s">
        <v>575</v>
      </c>
      <c r="D667" s="1">
        <v>6880</v>
      </c>
      <c r="E667" s="1">
        <v>15</v>
      </c>
      <c r="F667" s="5"/>
      <c r="G667" s="1" t="str">
        <f>IF(OR(ISERROR(SEARCH("recipiente",A667))=FALSE, ISERROR(SEARCH("serbatoio",A667))=FALSE, ISERROR(SEARCH("scambiatore",A667))=FALSE),
    IF(D667*E667&gt;3000,"IV",
        IF(D667*E667&gt;1000,"III",
            IF(D667*E667&gt;200,"II",
                IF(D667*E667&gt;50,"I","")
            )
        )
    ),
    IF(ISERROR(SEARCH("valvola di sicurezza",A667))=FALSE,"IV","")
)</f>
        <v/>
      </c>
    </row>
    <row r="668" spans="1:7" x14ac:dyDescent="0.3">
      <c r="A668" t="s">
        <v>65</v>
      </c>
      <c r="B668" t="s">
        <v>377</v>
      </c>
      <c r="C668" s="2" t="s">
        <v>576</v>
      </c>
      <c r="D668" s="1">
        <v>8350</v>
      </c>
      <c r="E668" s="1">
        <v>12</v>
      </c>
      <c r="F668" s="5"/>
      <c r="G668" s="1" t="str">
        <f>IF(OR(ISERROR(SEARCH("recipiente",A668))=FALSE, ISERROR(SEARCH("serbatoio",A668))=FALSE, ISERROR(SEARCH("scambiatore",A668))=FALSE),
    IF(D668*E668&gt;3000,"IV",
        IF(D668*E668&gt;1000,"III",
            IF(D668*E668&gt;200,"II",
                IF(D668*E668&gt;50,"I","")
            )
        )
    ),
    IF(ISERROR(SEARCH("valvola di sicurezza",A668))=FALSE,"IV","")
)</f>
        <v/>
      </c>
    </row>
    <row r="669" spans="1:7" x14ac:dyDescent="0.3">
      <c r="A669" t="s">
        <v>65</v>
      </c>
      <c r="B669" t="s">
        <v>377</v>
      </c>
      <c r="C669" s="2" t="s">
        <v>577</v>
      </c>
      <c r="D669" s="1">
        <v>8220</v>
      </c>
      <c r="E669" s="1">
        <v>12</v>
      </c>
      <c r="F669" s="5"/>
      <c r="G669" s="1" t="str">
        <f>IF(OR(ISERROR(SEARCH("recipiente",A669))=FALSE, ISERROR(SEARCH("serbatoio",A669))=FALSE, ISERROR(SEARCH("scambiatore",A669))=FALSE),
    IF(D669*E669&gt;3000,"IV",
        IF(D669*E669&gt;1000,"III",
            IF(D669*E669&gt;200,"II",
                IF(D669*E669&gt;50,"I","")
            )
        )
    ),
    IF(ISERROR(SEARCH("valvola di sicurezza",A669))=FALSE,"IV","")
)</f>
        <v/>
      </c>
    </row>
    <row r="670" spans="1:7" x14ac:dyDescent="0.3">
      <c r="A670" t="s">
        <v>65</v>
      </c>
      <c r="B670" t="s">
        <v>377</v>
      </c>
      <c r="C670" s="2" t="s">
        <v>578</v>
      </c>
      <c r="D670" s="1">
        <v>10190</v>
      </c>
      <c r="E670" s="1">
        <v>8.5</v>
      </c>
      <c r="F670" s="5"/>
      <c r="G670" s="1" t="str">
        <f>IF(OR(ISERROR(SEARCH("recipiente",A670))=FALSE, ISERROR(SEARCH("serbatoio",A670))=FALSE, ISERROR(SEARCH("scambiatore",A670))=FALSE),
    IF(D670*E670&gt;3000,"IV",
        IF(D670*E670&gt;1000,"III",
            IF(D670*E670&gt;200,"II",
                IF(D670*E670&gt;50,"I","")
            )
        )
    ),
    IF(ISERROR(SEARCH("valvola di sicurezza",A670))=FALSE,"IV","")
)</f>
        <v/>
      </c>
    </row>
    <row r="671" spans="1:7" x14ac:dyDescent="0.3">
      <c r="A671" t="s">
        <v>65</v>
      </c>
      <c r="B671" t="s">
        <v>377</v>
      </c>
      <c r="C671" s="2" t="s">
        <v>579</v>
      </c>
      <c r="D671" s="1">
        <v>6770</v>
      </c>
      <c r="E671" s="1">
        <v>15</v>
      </c>
      <c r="F671" s="5"/>
      <c r="G671" s="1" t="str">
        <f>IF(OR(ISERROR(SEARCH("recipiente",A671))=FALSE, ISERROR(SEARCH("serbatoio",A671))=FALSE, ISERROR(SEARCH("scambiatore",A671))=FALSE),
    IF(D671*E671&gt;3000,"IV",
        IF(D671*E671&gt;1000,"III",
            IF(D671*E671&gt;200,"II",
                IF(D671*E671&gt;50,"I","")
            )
        )
    ),
    IF(ISERROR(SEARCH("valvola di sicurezza",A671))=FALSE,"IV","")
)</f>
        <v/>
      </c>
    </row>
    <row r="672" spans="1:7" x14ac:dyDescent="0.3">
      <c r="A672" t="s">
        <v>65</v>
      </c>
      <c r="B672" t="s">
        <v>377</v>
      </c>
      <c r="C672" s="2" t="s">
        <v>580</v>
      </c>
      <c r="D672" s="1">
        <v>9900</v>
      </c>
      <c r="E672" s="1">
        <v>8</v>
      </c>
      <c r="F672" s="5"/>
      <c r="G672" s="1" t="str">
        <f>IF(OR(ISERROR(SEARCH("recipiente",A672))=FALSE, ISERROR(SEARCH("serbatoio",A672))=FALSE, ISERROR(SEARCH("scambiatore",A672))=FALSE),
    IF(D672*E672&gt;3000,"IV",
        IF(D672*E672&gt;1000,"III",
            IF(D672*E672&gt;200,"II",
                IF(D672*E672&gt;50,"I","")
            )
        )
    ),
    IF(ISERROR(SEARCH("valvola di sicurezza",A672))=FALSE,"IV","")
)</f>
        <v/>
      </c>
    </row>
    <row r="673" spans="1:7" x14ac:dyDescent="0.3">
      <c r="A673" t="s">
        <v>65</v>
      </c>
      <c r="B673" t="s">
        <v>377</v>
      </c>
      <c r="C673" s="2" t="s">
        <v>581</v>
      </c>
      <c r="D673" s="1">
        <v>7300</v>
      </c>
      <c r="E673" s="1">
        <v>15</v>
      </c>
      <c r="F673" s="5"/>
      <c r="G673" s="1" t="str">
        <f>IF(OR(ISERROR(SEARCH("recipiente",A673))=FALSE, ISERROR(SEARCH("serbatoio",A673))=FALSE, ISERROR(SEARCH("scambiatore",A673))=FALSE),
    IF(D673*E673&gt;3000,"IV",
        IF(D673*E673&gt;1000,"III",
            IF(D673*E673&gt;200,"II",
                IF(D673*E673&gt;50,"I","")
            )
        )
    ),
    IF(ISERROR(SEARCH("valvola di sicurezza",A673))=FALSE,"IV","")
)</f>
        <v/>
      </c>
    </row>
    <row r="674" spans="1:7" x14ac:dyDescent="0.3">
      <c r="A674" t="s">
        <v>65</v>
      </c>
      <c r="B674" t="s">
        <v>377</v>
      </c>
      <c r="C674" s="2" t="s">
        <v>582</v>
      </c>
      <c r="D674" s="1">
        <v>8950</v>
      </c>
      <c r="E674" s="1">
        <v>11</v>
      </c>
      <c r="F674" s="5"/>
      <c r="G674" s="1" t="str">
        <f>IF(OR(ISERROR(SEARCH("recipiente",A674))=FALSE, ISERROR(SEARCH("serbatoio",A674))=FALSE, ISERROR(SEARCH("scambiatore",A674))=FALSE),
    IF(D674*E674&gt;3000,"IV",
        IF(D674*E674&gt;1000,"III",
            IF(D674*E674&gt;200,"II",
                IF(D674*E674&gt;50,"I","")
            )
        )
    ),
    IF(ISERROR(SEARCH("valvola di sicurezza",A674))=FALSE,"IV","")
)</f>
        <v/>
      </c>
    </row>
    <row r="675" spans="1:7" x14ac:dyDescent="0.3">
      <c r="A675" t="s">
        <v>65</v>
      </c>
      <c r="B675" t="s">
        <v>377</v>
      </c>
      <c r="C675" s="2" t="s">
        <v>583</v>
      </c>
      <c r="D675" s="1">
        <v>10150</v>
      </c>
      <c r="E675" s="1">
        <v>8</v>
      </c>
      <c r="F675" s="5"/>
      <c r="G675" s="1" t="str">
        <f>IF(OR(ISERROR(SEARCH("recipiente",A675))=FALSE, ISERROR(SEARCH("serbatoio",A675))=FALSE, ISERROR(SEARCH("scambiatore",A675))=FALSE),
    IF(D675*E675&gt;3000,"IV",
        IF(D675*E675&gt;1000,"III",
            IF(D675*E675&gt;200,"II",
                IF(D675*E675&gt;50,"I","")
            )
        )
    ),
    IF(ISERROR(SEARCH("valvola di sicurezza",A675))=FALSE,"IV","")
)</f>
        <v/>
      </c>
    </row>
    <row r="676" spans="1:7" x14ac:dyDescent="0.3">
      <c r="A676" t="s">
        <v>65</v>
      </c>
      <c r="B676" t="s">
        <v>377</v>
      </c>
      <c r="C676" s="2" t="s">
        <v>584</v>
      </c>
      <c r="D676" s="1">
        <v>6750</v>
      </c>
      <c r="E676" s="1">
        <v>15</v>
      </c>
      <c r="F676" s="5"/>
      <c r="G676" s="1" t="str">
        <f>IF(OR(ISERROR(SEARCH("recipiente",A676))=FALSE, ISERROR(SEARCH("serbatoio",A676))=FALSE, ISERROR(SEARCH("scambiatore",A676))=FALSE),
    IF(D676*E676&gt;3000,"IV",
        IF(D676*E676&gt;1000,"III",
            IF(D676*E676&gt;200,"II",
                IF(D676*E676&gt;50,"I","")
            )
        )
    ),
    IF(ISERROR(SEARCH("valvola di sicurezza",A676))=FALSE,"IV","")
)</f>
        <v/>
      </c>
    </row>
    <row r="677" spans="1:7" x14ac:dyDescent="0.3">
      <c r="A677" t="s">
        <v>65</v>
      </c>
      <c r="B677" t="s">
        <v>377</v>
      </c>
      <c r="C677" s="2" t="s">
        <v>585</v>
      </c>
      <c r="D677" s="1">
        <v>8200</v>
      </c>
      <c r="E677" s="1">
        <v>11</v>
      </c>
      <c r="F677" s="5"/>
      <c r="G677" s="1" t="str">
        <f>IF(OR(ISERROR(SEARCH("recipiente",A677))=FALSE, ISERROR(SEARCH("serbatoio",A677))=FALSE, ISERROR(SEARCH("scambiatore",A677))=FALSE),
    IF(D677*E677&gt;3000,"IV",
        IF(D677*E677&gt;1000,"III",
            IF(D677*E677&gt;200,"II",
                IF(D677*E677&gt;50,"I","")
            )
        )
    ),
    IF(ISERROR(SEARCH("valvola di sicurezza",A677))=FALSE,"IV","")
)</f>
        <v/>
      </c>
    </row>
    <row r="678" spans="1:7" x14ac:dyDescent="0.3">
      <c r="A678" t="s">
        <v>65</v>
      </c>
      <c r="B678" t="s">
        <v>377</v>
      </c>
      <c r="C678" s="2" t="s">
        <v>586</v>
      </c>
      <c r="D678" s="1">
        <v>11130</v>
      </c>
      <c r="E678" s="1">
        <v>7.5</v>
      </c>
      <c r="F678" s="5"/>
      <c r="G678" s="1" t="str">
        <f>IF(OR(ISERROR(SEARCH("recipiente",A678))=FALSE, ISERROR(SEARCH("serbatoio",A678))=FALSE, ISERROR(SEARCH("scambiatore",A678))=FALSE),
    IF(D678*E678&gt;3000,"IV",
        IF(D678*E678&gt;1000,"III",
            IF(D678*E678&gt;200,"II",
                IF(D678*E678&gt;50,"I","")
            )
        )
    ),
    IF(ISERROR(SEARCH("valvola di sicurezza",A678))=FALSE,"IV","")
)</f>
        <v/>
      </c>
    </row>
    <row r="679" spans="1:7" x14ac:dyDescent="0.3">
      <c r="A679" t="s">
        <v>65</v>
      </c>
      <c r="B679" t="s">
        <v>377</v>
      </c>
      <c r="C679" s="2" t="s">
        <v>587</v>
      </c>
      <c r="D679" s="1">
        <v>9330</v>
      </c>
      <c r="E679" s="1">
        <v>15</v>
      </c>
      <c r="F679" s="5"/>
      <c r="G679" s="1" t="str">
        <f>IF(OR(ISERROR(SEARCH("recipiente",A679))=FALSE, ISERROR(SEARCH("serbatoio",A679))=FALSE, ISERROR(SEARCH("scambiatore",A679))=FALSE),
    IF(D679*E679&gt;3000,"IV",
        IF(D679*E679&gt;1000,"III",
            IF(D679*E679&gt;200,"II",
                IF(D679*E679&gt;50,"I","")
            )
        )
    ),
    IF(ISERROR(SEARCH("valvola di sicurezza",A679))=FALSE,"IV","")
)</f>
        <v/>
      </c>
    </row>
    <row r="680" spans="1:7" x14ac:dyDescent="0.3">
      <c r="A680" t="s">
        <v>65</v>
      </c>
      <c r="B680" t="s">
        <v>377</v>
      </c>
      <c r="C680" s="2" t="s">
        <v>588</v>
      </c>
      <c r="D680" s="1">
        <v>7600</v>
      </c>
      <c r="E680" s="1">
        <v>8</v>
      </c>
      <c r="F680" s="5"/>
      <c r="G680" s="1" t="str">
        <f>IF(OR(ISERROR(SEARCH("recipiente",A680))=FALSE, ISERROR(SEARCH("serbatoio",A680))=FALSE, ISERROR(SEARCH("scambiatore",A680))=FALSE),
    IF(D680*E680&gt;3000,"IV",
        IF(D680*E680&gt;1000,"III",
            IF(D680*E680&gt;200,"II",
                IF(D680*E680&gt;50,"I","")
            )
        )
    ),
    IF(ISERROR(SEARCH("valvola di sicurezza",A680))=FALSE,"IV","")
)</f>
        <v/>
      </c>
    </row>
    <row r="681" spans="1:7" x14ac:dyDescent="0.3">
      <c r="A681" t="s">
        <v>65</v>
      </c>
      <c r="B681" t="s">
        <v>377</v>
      </c>
      <c r="C681" s="2" t="s">
        <v>589</v>
      </c>
      <c r="D681" s="1">
        <v>6500</v>
      </c>
      <c r="E681" s="1">
        <v>10</v>
      </c>
      <c r="F681" s="5"/>
      <c r="G681" s="1" t="str">
        <f>IF(OR(ISERROR(SEARCH("recipiente",A681))=FALSE, ISERROR(SEARCH("serbatoio",A681))=FALSE, ISERROR(SEARCH("scambiatore",A681))=FALSE),
    IF(D681*E681&gt;3000,"IV",
        IF(D681*E681&gt;1000,"III",
            IF(D681*E681&gt;200,"II",
                IF(D681*E681&gt;50,"I","")
            )
        )
    ),
    IF(ISERROR(SEARCH("valvola di sicurezza",A681))=FALSE,"IV","")
)</f>
        <v/>
      </c>
    </row>
    <row r="682" spans="1:7" x14ac:dyDescent="0.3">
      <c r="A682" t="s">
        <v>65</v>
      </c>
      <c r="B682" t="s">
        <v>377</v>
      </c>
      <c r="C682" s="2" t="s">
        <v>590</v>
      </c>
      <c r="D682" s="1">
        <v>8160</v>
      </c>
      <c r="E682" s="1">
        <v>8.5</v>
      </c>
      <c r="F682" s="5"/>
      <c r="G682" s="1" t="str">
        <f>IF(OR(ISERROR(SEARCH("recipiente",A682))=FALSE, ISERROR(SEARCH("serbatoio",A682))=FALSE, ISERROR(SEARCH("scambiatore",A682))=FALSE),
    IF(D682*E682&gt;3000,"IV",
        IF(D682*E682&gt;1000,"III",
            IF(D682*E682&gt;200,"II",
                IF(D682*E682&gt;50,"I","")
            )
        )
    ),
    IF(ISERROR(SEARCH("valvola di sicurezza",A682))=FALSE,"IV","")
)</f>
        <v/>
      </c>
    </row>
    <row r="683" spans="1:7" x14ac:dyDescent="0.3">
      <c r="A683" t="s">
        <v>65</v>
      </c>
      <c r="B683" t="s">
        <v>377</v>
      </c>
      <c r="C683" s="2" t="s">
        <v>591</v>
      </c>
      <c r="D683" s="1">
        <v>5470</v>
      </c>
      <c r="E683" s="1">
        <v>15</v>
      </c>
      <c r="F683" s="5"/>
      <c r="G683" s="1" t="str">
        <f>IF(OR(ISERROR(SEARCH("recipiente",A683))=FALSE, ISERROR(SEARCH("serbatoio",A683))=FALSE, ISERROR(SEARCH("scambiatore",A683))=FALSE),
    IF(D683*E683&gt;3000,"IV",
        IF(D683*E683&gt;1000,"III",
            IF(D683*E683&gt;200,"II",
                IF(D683*E683&gt;50,"I","")
            )
        )
    ),
    IF(ISERROR(SEARCH("valvola di sicurezza",A683))=FALSE,"IV","")
)</f>
        <v/>
      </c>
    </row>
    <row r="684" spans="1:7" x14ac:dyDescent="0.3">
      <c r="A684" t="s">
        <v>65</v>
      </c>
      <c r="B684" t="s">
        <v>377</v>
      </c>
      <c r="C684" s="2" t="s">
        <v>592</v>
      </c>
      <c r="D684" s="1">
        <v>6790</v>
      </c>
      <c r="E684" s="1">
        <v>11</v>
      </c>
      <c r="F684" s="5"/>
      <c r="G684" s="1" t="str">
        <f>IF(OR(ISERROR(SEARCH("recipiente",A684))=FALSE, ISERROR(SEARCH("serbatoio",A684))=FALSE, ISERROR(SEARCH("scambiatore",A684))=FALSE),
    IF(D684*E684&gt;3000,"IV",
        IF(D684*E684&gt;1000,"III",
            IF(D684*E684&gt;200,"II",
                IF(D684*E684&gt;50,"I","")
            )
        )
    ),
    IF(ISERROR(SEARCH("valvola di sicurezza",A684))=FALSE,"IV","")
)</f>
        <v/>
      </c>
    </row>
    <row r="685" spans="1:7" x14ac:dyDescent="0.3">
      <c r="A685" t="s">
        <v>65</v>
      </c>
      <c r="B685" t="s">
        <v>377</v>
      </c>
      <c r="C685" s="2" t="s">
        <v>593</v>
      </c>
      <c r="D685" s="1">
        <v>8160</v>
      </c>
      <c r="E685" s="1">
        <v>8</v>
      </c>
      <c r="F685" s="5"/>
      <c r="G685" s="1" t="str">
        <f>IF(OR(ISERROR(SEARCH("recipiente",A685))=FALSE, ISERROR(SEARCH("serbatoio",A685))=FALSE, ISERROR(SEARCH("scambiatore",A685))=FALSE),
    IF(D685*E685&gt;3000,"IV",
        IF(D685*E685&gt;1000,"III",
            IF(D685*E685&gt;200,"II",
                IF(D685*E685&gt;50,"I","")
            )
        )
    ),
    IF(ISERROR(SEARCH("valvola di sicurezza",A685))=FALSE,"IV","")
)</f>
        <v/>
      </c>
    </row>
    <row r="686" spans="1:7" x14ac:dyDescent="0.3">
      <c r="A686" t="s">
        <v>65</v>
      </c>
      <c r="B686" t="s">
        <v>377</v>
      </c>
      <c r="C686" s="2" t="s">
        <v>594</v>
      </c>
      <c r="D686" s="1">
        <v>5340</v>
      </c>
      <c r="E686" s="1">
        <v>15</v>
      </c>
      <c r="F686" s="5"/>
      <c r="G686" s="1" t="str">
        <f>IF(OR(ISERROR(SEARCH("recipiente",A686))=FALSE, ISERROR(SEARCH("serbatoio",A686))=FALSE, ISERROR(SEARCH("scambiatore",A686))=FALSE),
    IF(D686*E686&gt;3000,"IV",
        IF(D686*E686&gt;1000,"III",
            IF(D686*E686&gt;200,"II",
                IF(D686*E686&gt;50,"I","")
            )
        )
    ),
    IF(ISERROR(SEARCH("valvola di sicurezza",A686))=FALSE,"IV","")
)</f>
        <v/>
      </c>
    </row>
    <row r="687" spans="1:7" x14ac:dyDescent="0.3">
      <c r="A687" t="s">
        <v>65</v>
      </c>
      <c r="B687" t="s">
        <v>377</v>
      </c>
      <c r="C687" s="2" t="s">
        <v>595</v>
      </c>
      <c r="D687" s="1">
        <v>5470</v>
      </c>
      <c r="E687" s="1">
        <v>12</v>
      </c>
      <c r="F687" s="5"/>
      <c r="G687" s="1" t="str">
        <f>IF(OR(ISERROR(SEARCH("recipiente",A687))=FALSE, ISERROR(SEARCH("serbatoio",A687))=FALSE, ISERROR(SEARCH("scambiatore",A687))=FALSE),
    IF(D687*E687&gt;3000,"IV",
        IF(D687*E687&gt;1000,"III",
            IF(D687*E687&gt;200,"II",
                IF(D687*E687&gt;50,"I","")
            )
        )
    ),
    IF(ISERROR(SEARCH("valvola di sicurezza",A687))=FALSE,"IV","")
)</f>
        <v/>
      </c>
    </row>
    <row r="688" spans="1:7" x14ac:dyDescent="0.3">
      <c r="A688" t="s">
        <v>65</v>
      </c>
      <c r="B688" t="s">
        <v>377</v>
      </c>
      <c r="C688" s="2" t="s">
        <v>596</v>
      </c>
      <c r="D688" s="1">
        <v>9060</v>
      </c>
      <c r="E688" s="1">
        <v>8.5</v>
      </c>
      <c r="F688" s="5"/>
      <c r="G688" s="1" t="str">
        <f>IF(OR(ISERROR(SEARCH("recipiente",A688))=FALSE, ISERROR(SEARCH("serbatoio",A688))=FALSE, ISERROR(SEARCH("scambiatore",A688))=FALSE),
    IF(D688*E688&gt;3000,"IV",
        IF(D688*E688&gt;1000,"III",
            IF(D688*E688&gt;200,"II",
                IF(D688*E688&gt;50,"I","")
            )
        )
    ),
    IF(ISERROR(SEARCH("valvola di sicurezza",A688))=FALSE,"IV","")
)</f>
        <v/>
      </c>
    </row>
    <row r="689" spans="1:7" x14ac:dyDescent="0.3">
      <c r="A689" t="s">
        <v>65</v>
      </c>
      <c r="B689" t="s">
        <v>377</v>
      </c>
      <c r="C689" s="2" t="s">
        <v>597</v>
      </c>
      <c r="D689" s="1">
        <v>6000</v>
      </c>
      <c r="E689" s="1">
        <v>15</v>
      </c>
      <c r="F689" s="5"/>
      <c r="G689" s="1" t="str">
        <f>IF(OR(ISERROR(SEARCH("recipiente",A689))=FALSE, ISERROR(SEARCH("serbatoio",A689))=FALSE, ISERROR(SEARCH("scambiatore",A689))=FALSE),
    IF(D689*E689&gt;3000,"IV",
        IF(D689*E689&gt;1000,"III",
            IF(D689*E689&gt;200,"II",
                IF(D689*E689&gt;50,"I","")
            )
        )
    ),
    IF(ISERROR(SEARCH("valvola di sicurezza",A689))=FALSE,"IV","")
)</f>
        <v/>
      </c>
    </row>
    <row r="690" spans="1:7" x14ac:dyDescent="0.3">
      <c r="A690" t="s">
        <v>65</v>
      </c>
      <c r="B690" t="s">
        <v>377</v>
      </c>
      <c r="C690" s="2" t="s">
        <v>598</v>
      </c>
      <c r="D690" s="1">
        <v>7560</v>
      </c>
      <c r="E690" s="1">
        <v>10</v>
      </c>
      <c r="F690" s="5"/>
      <c r="G690" s="1" t="str">
        <f>IF(OR(ISERROR(SEARCH("recipiente",A690))=FALSE, ISERROR(SEARCH("serbatoio",A690))=FALSE, ISERROR(SEARCH("scambiatore",A690))=FALSE),
    IF(D690*E690&gt;3000,"IV",
        IF(D690*E690&gt;1000,"III",
            IF(D690*E690&gt;200,"II",
                IF(D690*E690&gt;50,"I","")
            )
        )
    ),
    IF(ISERROR(SEARCH("valvola di sicurezza",A690))=FALSE,"IV","")
)</f>
        <v/>
      </c>
    </row>
    <row r="691" spans="1:7" x14ac:dyDescent="0.3">
      <c r="A691" t="s">
        <v>65</v>
      </c>
      <c r="B691" t="s">
        <v>377</v>
      </c>
      <c r="C691" s="2" t="s">
        <v>599</v>
      </c>
      <c r="D691" s="1">
        <v>7000</v>
      </c>
      <c r="E691" s="1">
        <v>8.5</v>
      </c>
      <c r="F691" s="5"/>
      <c r="G691" s="1" t="str">
        <f>IF(OR(ISERROR(SEARCH("recipiente",A691))=FALSE, ISERROR(SEARCH("serbatoio",A691))=FALSE, ISERROR(SEARCH("scambiatore",A691))=FALSE),
    IF(D691*E691&gt;3000,"IV",
        IF(D691*E691&gt;1000,"III",
            IF(D691*E691&gt;200,"II",
                IF(D691*E691&gt;50,"I","")
            )
        )
    ),
    IF(ISERROR(SEARCH("valvola di sicurezza",A691))=FALSE,"IV","")
)</f>
        <v/>
      </c>
    </row>
    <row r="692" spans="1:7" x14ac:dyDescent="0.3">
      <c r="A692" t="s">
        <v>65</v>
      </c>
      <c r="B692" t="s">
        <v>377</v>
      </c>
      <c r="C692" s="2" t="s">
        <v>600</v>
      </c>
      <c r="D692" s="1">
        <v>4430</v>
      </c>
      <c r="E692" s="1">
        <v>15</v>
      </c>
      <c r="F692" s="5"/>
      <c r="G692" s="1" t="str">
        <f>IF(OR(ISERROR(SEARCH("recipiente",A692))=FALSE, ISERROR(SEARCH("serbatoio",A692))=FALSE, ISERROR(SEARCH("scambiatore",A692))=FALSE),
    IF(D692*E692&gt;3000,"IV",
        IF(D692*E692&gt;1000,"III",
            IF(D692*E692&gt;200,"II",
                IF(D692*E692&gt;50,"I","")
            )
        )
    ),
    IF(ISERROR(SEARCH("valvola di sicurezza",A692))=FALSE,"IV","")
)</f>
        <v/>
      </c>
    </row>
    <row r="693" spans="1:7" x14ac:dyDescent="0.3">
      <c r="A693" t="s">
        <v>65</v>
      </c>
      <c r="B693" t="s">
        <v>377</v>
      </c>
      <c r="C693" s="2" t="s">
        <v>601</v>
      </c>
      <c r="D693" s="1">
        <v>5600</v>
      </c>
      <c r="E693" s="1">
        <v>12</v>
      </c>
      <c r="F693" s="5"/>
      <c r="G693" s="1" t="str">
        <f>IF(OR(ISERROR(SEARCH("recipiente",A693))=FALSE, ISERROR(SEARCH("serbatoio",A693))=FALSE, ISERROR(SEARCH("scambiatore",A693))=FALSE),
    IF(D693*E693&gt;3000,"IV",
        IF(D693*E693&gt;1000,"III",
            IF(D693*E693&gt;200,"II",
                IF(D693*E693&gt;50,"I","")
            )
        )
    ),
    IF(ISERROR(SEARCH("valvola di sicurezza",A693))=FALSE,"IV","")
)</f>
        <v/>
      </c>
    </row>
    <row r="694" spans="1:7" x14ac:dyDescent="0.3">
      <c r="A694" t="s">
        <v>65</v>
      </c>
      <c r="B694" t="s">
        <v>377</v>
      </c>
      <c r="C694" s="2" t="s">
        <v>602</v>
      </c>
      <c r="D694" s="1">
        <v>6250</v>
      </c>
      <c r="E694" s="1">
        <v>8.5</v>
      </c>
      <c r="F694" s="5"/>
      <c r="G694" s="1" t="str">
        <f>IF(OR(ISERROR(SEARCH("recipiente",A694))=FALSE, ISERROR(SEARCH("serbatoio",A694))=FALSE, ISERROR(SEARCH("scambiatore",A694))=FALSE),
    IF(D694*E694&gt;3000,"IV",
        IF(D694*E694&gt;1000,"III",
            IF(D694*E694&gt;200,"II",
                IF(D694*E694&gt;50,"I","")
            )
        )
    ),
    IF(ISERROR(SEARCH("valvola di sicurezza",A694))=FALSE,"IV","")
)</f>
        <v/>
      </c>
    </row>
    <row r="695" spans="1:7" x14ac:dyDescent="0.3">
      <c r="A695" t="s">
        <v>65</v>
      </c>
      <c r="B695" t="s">
        <v>377</v>
      </c>
      <c r="C695" s="2" t="s">
        <v>603</v>
      </c>
      <c r="D695" s="1">
        <v>4450</v>
      </c>
      <c r="E695" s="1">
        <v>15</v>
      </c>
      <c r="F695" s="5"/>
      <c r="G695" s="1" t="str">
        <f>IF(OR(ISERROR(SEARCH("recipiente",A695))=FALSE, ISERROR(SEARCH("serbatoio",A695))=FALSE, ISERROR(SEARCH("scambiatore",A695))=FALSE),
    IF(D695*E695&gt;3000,"IV",
        IF(D695*E695&gt;1000,"III",
            IF(D695*E695&gt;200,"II",
                IF(D695*E695&gt;50,"I","")
            )
        )
    ),
    IF(ISERROR(SEARCH("valvola di sicurezza",A695))=FALSE,"IV","")
)</f>
        <v/>
      </c>
    </row>
    <row r="696" spans="1:7" x14ac:dyDescent="0.3">
      <c r="A696" t="s">
        <v>65</v>
      </c>
      <c r="B696" t="s">
        <v>377</v>
      </c>
      <c r="C696" s="2" t="s">
        <v>604</v>
      </c>
      <c r="D696" s="1">
        <v>5340</v>
      </c>
      <c r="E696" s="1">
        <v>11</v>
      </c>
      <c r="F696" s="5"/>
      <c r="G696" s="1" t="str">
        <f>IF(OR(ISERROR(SEARCH("recipiente",A696))=FALSE, ISERROR(SEARCH("serbatoio",A696))=FALSE, ISERROR(SEARCH("scambiatore",A696))=FALSE),
    IF(D696*E696&gt;3000,"IV",
        IF(D696*E696&gt;1000,"III",
            IF(D696*E696&gt;200,"II",
                IF(D696*E696&gt;50,"I","")
            )
        )
    ),
    IF(ISERROR(SEARCH("valvola di sicurezza",A696))=FALSE,"IV","")
)</f>
        <v/>
      </c>
    </row>
    <row r="697" spans="1:7" x14ac:dyDescent="0.3">
      <c r="A697" t="s">
        <v>65</v>
      </c>
      <c r="B697" t="s">
        <v>377</v>
      </c>
      <c r="C697" s="2" t="s">
        <v>605</v>
      </c>
      <c r="D697" s="1">
        <v>5630</v>
      </c>
      <c r="E697" s="1">
        <v>11</v>
      </c>
      <c r="F697" s="5"/>
      <c r="G697" s="1" t="str">
        <f>IF(OR(ISERROR(SEARCH("recipiente",A697))=FALSE, ISERROR(SEARCH("serbatoio",A697))=FALSE, ISERROR(SEARCH("scambiatore",A697))=FALSE),
    IF(D697*E697&gt;3000,"IV",
        IF(D697*E697&gt;1000,"III",
            IF(D697*E697&gt;200,"II",
                IF(D697*E697&gt;50,"I","")
            )
        )
    ),
    IF(ISERROR(SEARCH("valvola di sicurezza",A697))=FALSE,"IV","")
)</f>
        <v/>
      </c>
    </row>
    <row r="698" spans="1:7" x14ac:dyDescent="0.3">
      <c r="A698" t="s">
        <v>65</v>
      </c>
      <c r="B698" t="s">
        <v>377</v>
      </c>
      <c r="C698" s="2" t="s">
        <v>606</v>
      </c>
      <c r="D698" s="1">
        <v>7060</v>
      </c>
      <c r="E698" s="1">
        <v>8</v>
      </c>
      <c r="F698" s="5"/>
      <c r="G698" s="1" t="str">
        <f>IF(OR(ISERROR(SEARCH("recipiente",A698))=FALSE, ISERROR(SEARCH("serbatoio",A698))=FALSE, ISERROR(SEARCH("scambiatore",A698))=FALSE),
    IF(D698*E698&gt;3000,"IV",
        IF(D698*E698&gt;1000,"III",
            IF(D698*E698&gt;200,"II",
                IF(D698*E698&gt;50,"I","")
            )
        )
    ),
    IF(ISERROR(SEARCH("valvola di sicurezza",A698))=FALSE,"IV","")
)</f>
        <v/>
      </c>
    </row>
    <row r="699" spans="1:7" x14ac:dyDescent="0.3">
      <c r="A699" t="s">
        <v>65</v>
      </c>
      <c r="B699" t="s">
        <v>377</v>
      </c>
      <c r="C699" s="2" t="s">
        <v>607</v>
      </c>
      <c r="D699" s="1">
        <v>5570</v>
      </c>
      <c r="E699" s="1">
        <v>15</v>
      </c>
      <c r="F699" s="5"/>
      <c r="G699" s="1" t="str">
        <f>IF(OR(ISERROR(SEARCH("recipiente",A699))=FALSE, ISERROR(SEARCH("serbatoio",A699))=FALSE, ISERROR(SEARCH("scambiatore",A699))=FALSE),
    IF(D699*E699&gt;3000,"IV",
        IF(D699*E699&gt;1000,"III",
            IF(D699*E699&gt;200,"II",
                IF(D699*E699&gt;50,"I","")
            )
        )
    ),
    IF(ISERROR(SEARCH("valvola di sicurezza",A699))=FALSE,"IV","")
)</f>
        <v/>
      </c>
    </row>
    <row r="700" spans="1:7" x14ac:dyDescent="0.3">
      <c r="A700" t="s">
        <v>65</v>
      </c>
      <c r="B700" t="s">
        <v>377</v>
      </c>
      <c r="C700" s="2" t="s">
        <v>608</v>
      </c>
      <c r="D700" s="1">
        <v>5650</v>
      </c>
      <c r="E700" s="1">
        <v>8.5</v>
      </c>
      <c r="F700" s="5"/>
      <c r="G700" s="1" t="str">
        <f>IF(OR(ISERROR(SEARCH("recipiente",A700))=FALSE, ISERROR(SEARCH("serbatoio",A700))=FALSE, ISERROR(SEARCH("scambiatore",A700))=FALSE),
    IF(D700*E700&gt;3000,"IV",
        IF(D700*E700&gt;1000,"III",
            IF(D700*E700&gt;200,"II",
                IF(D700*E700&gt;50,"I","")
            )
        )
    ),
    IF(ISERROR(SEARCH("valvola di sicurezza",A700))=FALSE,"IV","")
)</f>
        <v/>
      </c>
    </row>
    <row r="701" spans="1:7" x14ac:dyDescent="0.3">
      <c r="A701" t="s">
        <v>65</v>
      </c>
      <c r="B701" t="s">
        <v>377</v>
      </c>
      <c r="C701" s="2" t="s">
        <v>609</v>
      </c>
      <c r="D701" s="1">
        <v>3760</v>
      </c>
      <c r="E701" s="1">
        <v>15</v>
      </c>
      <c r="F701" s="5"/>
      <c r="G701" s="1" t="str">
        <f>IF(OR(ISERROR(SEARCH("recipiente",A701))=FALSE, ISERROR(SEARCH("serbatoio",A701))=FALSE, ISERROR(SEARCH("scambiatore",A701))=FALSE),
    IF(D701*E701&gt;3000,"IV",
        IF(D701*E701&gt;1000,"III",
            IF(D701*E701&gt;200,"II",
                IF(D701*E701&gt;50,"I","")
            )
        )
    ),
    IF(ISERROR(SEARCH("valvola di sicurezza",A701))=FALSE,"IV","")
)</f>
        <v/>
      </c>
    </row>
    <row r="702" spans="1:7" x14ac:dyDescent="0.3">
      <c r="A702" t="s">
        <v>65</v>
      </c>
      <c r="B702" t="s">
        <v>377</v>
      </c>
      <c r="C702" s="2" t="s">
        <v>610</v>
      </c>
      <c r="D702" s="1">
        <v>4520</v>
      </c>
      <c r="E702" s="1">
        <v>12</v>
      </c>
      <c r="F702" s="5"/>
      <c r="G702" s="1" t="str">
        <f>IF(OR(ISERROR(SEARCH("recipiente",A702))=FALSE, ISERROR(SEARCH("serbatoio",A702))=FALSE, ISERROR(SEARCH("scambiatore",A702))=FALSE),
    IF(D702*E702&gt;3000,"IV",
        IF(D702*E702&gt;1000,"III",
            IF(D702*E702&gt;200,"II",
                IF(D702*E702&gt;50,"I","")
            )
        )
    ),
    IF(ISERROR(SEARCH("valvola di sicurezza",A702))=FALSE,"IV","")
)</f>
        <v/>
      </c>
    </row>
    <row r="703" spans="1:7" x14ac:dyDescent="0.3">
      <c r="A703" t="s">
        <v>65</v>
      </c>
      <c r="B703" t="s">
        <v>377</v>
      </c>
      <c r="C703" s="2" t="s">
        <v>611</v>
      </c>
      <c r="D703" s="1">
        <v>5650</v>
      </c>
      <c r="E703" s="1">
        <v>8</v>
      </c>
      <c r="F703" s="5"/>
      <c r="G703" s="1" t="str">
        <f>IF(OR(ISERROR(SEARCH("recipiente",A703))=FALSE, ISERROR(SEARCH("serbatoio",A703))=FALSE, ISERROR(SEARCH("scambiatore",A703))=FALSE),
    IF(D703*E703&gt;3000,"IV",
        IF(D703*E703&gt;1000,"III",
            IF(D703*E703&gt;200,"II",
                IF(D703*E703&gt;50,"I","")
            )
        )
    ),
    IF(ISERROR(SEARCH("valvola di sicurezza",A703))=FALSE,"IV","")
)</f>
        <v/>
      </c>
    </row>
    <row r="704" spans="1:7" x14ac:dyDescent="0.3">
      <c r="A704" t="s">
        <v>65</v>
      </c>
      <c r="B704" t="s">
        <v>377</v>
      </c>
      <c r="C704" s="2" t="s">
        <v>612</v>
      </c>
      <c r="D704" s="1">
        <v>3600</v>
      </c>
      <c r="E704" s="1">
        <v>15</v>
      </c>
      <c r="F704" s="5"/>
      <c r="G704" s="1" t="str">
        <f>IF(OR(ISERROR(SEARCH("recipiente",A704))=FALSE, ISERROR(SEARCH("serbatoio",A704))=FALSE, ISERROR(SEARCH("scambiatore",A704))=FALSE),
    IF(D704*E704&gt;3000,"IV",
        IF(D704*E704&gt;1000,"III",
            IF(D704*E704&gt;200,"II",
                IF(D704*E704&gt;50,"I","")
            )
        )
    ),
    IF(ISERROR(SEARCH("valvola di sicurezza",A704))=FALSE,"IV","")
)</f>
        <v/>
      </c>
    </row>
    <row r="705" spans="1:9" x14ac:dyDescent="0.3">
      <c r="A705" t="s">
        <v>65</v>
      </c>
      <c r="B705" t="s">
        <v>377</v>
      </c>
      <c r="C705" s="2" t="s">
        <v>613</v>
      </c>
      <c r="D705" s="1">
        <v>4450</v>
      </c>
      <c r="E705" s="1">
        <v>11</v>
      </c>
      <c r="F705" s="5"/>
      <c r="G705" s="1" t="str">
        <f>IF(OR(ISERROR(SEARCH("recipiente",A705))=FALSE, ISERROR(SEARCH("serbatoio",A705))=FALSE, ISERROR(SEARCH("scambiatore",A705))=FALSE),
    IF(D705*E705&gt;3000,"IV",
        IF(D705*E705&gt;1000,"III",
            IF(D705*E705&gt;200,"II",
                IF(D705*E705&gt;50,"I","")
            )
        )
    ),
    IF(ISERROR(SEARCH("valvola di sicurezza",A705))=FALSE,"IV","")
)</f>
        <v/>
      </c>
    </row>
    <row r="706" spans="1:9" x14ac:dyDescent="0.3">
      <c r="A706" t="s">
        <v>65</v>
      </c>
      <c r="B706" t="s">
        <v>377</v>
      </c>
      <c r="C706" s="2" t="s">
        <v>614</v>
      </c>
      <c r="D706" s="1">
        <v>4190</v>
      </c>
      <c r="E706" s="1">
        <v>8</v>
      </c>
      <c r="F706" s="5"/>
      <c r="G706" s="1" t="str">
        <f>IF(OR(ISERROR(SEARCH("recipiente",A706))=FALSE, ISERROR(SEARCH("serbatoio",A706))=FALSE, ISERROR(SEARCH("scambiatore",A706))=FALSE),
    IF(D706*E706&gt;3000,"IV",
        IF(D706*E706&gt;1000,"III",
            IF(D706*E706&gt;200,"II",
                IF(D706*E706&gt;50,"I","")
            )
        )
    ),
    IF(ISERROR(SEARCH("valvola di sicurezza",A706))=FALSE,"IV","")
)</f>
        <v/>
      </c>
    </row>
    <row r="707" spans="1:9" x14ac:dyDescent="0.3">
      <c r="A707" t="s">
        <v>65</v>
      </c>
      <c r="B707" t="s">
        <v>377</v>
      </c>
      <c r="C707" s="2" t="s">
        <v>615</v>
      </c>
      <c r="D707" s="1">
        <v>3170</v>
      </c>
      <c r="E707" s="1">
        <v>15</v>
      </c>
      <c r="F707" s="5"/>
      <c r="G707" s="1" t="str">
        <f>IF(OR(ISERROR(SEARCH("recipiente",A707))=FALSE, ISERROR(SEARCH("serbatoio",A707))=FALSE, ISERROR(SEARCH("scambiatore",A707))=FALSE),
    IF(D707*E707&gt;3000,"IV",
        IF(D707*E707&gt;1000,"III",
            IF(D707*E707&gt;200,"II",
                IF(D707*E707&gt;50,"I","")
            )
        )
    ),
    IF(ISERROR(SEARCH("valvola di sicurezza",A707))=FALSE,"IV","")
)</f>
        <v/>
      </c>
    </row>
    <row r="708" spans="1:9" x14ac:dyDescent="0.3">
      <c r="A708" t="s">
        <v>65</v>
      </c>
      <c r="B708" t="s">
        <v>377</v>
      </c>
      <c r="C708" s="2" t="s">
        <v>616</v>
      </c>
      <c r="D708" s="1">
        <v>3710</v>
      </c>
      <c r="E708" s="1">
        <v>11</v>
      </c>
      <c r="F708" s="5"/>
      <c r="G708" s="1" t="str">
        <f>IF(OR(ISERROR(SEARCH("recipiente",A708))=FALSE, ISERROR(SEARCH("serbatoio",A708))=FALSE, ISERROR(SEARCH("scambiatore",A708))=FALSE),
    IF(D708*E708&gt;3000,"IV",
        IF(D708*E708&gt;1000,"III",
            IF(D708*E708&gt;200,"II",
                IF(D708*E708&gt;50,"I","")
            )
        )
    ),
    IF(ISERROR(SEARCH("valvola di sicurezza",A708))=FALSE,"IV","")
)</f>
        <v/>
      </c>
    </row>
    <row r="709" spans="1:9" x14ac:dyDescent="0.3">
      <c r="A709" t="s">
        <v>65</v>
      </c>
      <c r="B709" t="s">
        <v>377</v>
      </c>
      <c r="C709" s="2" t="s">
        <v>617</v>
      </c>
      <c r="D709" s="1">
        <v>4059.9999999999995</v>
      </c>
      <c r="E709" s="1">
        <v>8</v>
      </c>
      <c r="F709" s="5"/>
      <c r="G709" s="1" t="str">
        <f>IF(OR(ISERROR(SEARCH("recipiente",A709))=FALSE, ISERROR(SEARCH("serbatoio",A709))=FALSE, ISERROR(SEARCH("scambiatore",A709))=FALSE),
    IF(D709*E709&gt;3000,"IV",
        IF(D709*E709&gt;1000,"III",
            IF(D709*E709&gt;200,"II",
                IF(D709*E709&gt;50,"I","")
            )
        )
    ),
    IF(ISERROR(SEARCH("valvola di sicurezza",A709))=FALSE,"IV","")
)</f>
        <v/>
      </c>
    </row>
    <row r="710" spans="1:9" x14ac:dyDescent="0.3">
      <c r="A710" t="s">
        <v>65</v>
      </c>
      <c r="B710" t="s">
        <v>377</v>
      </c>
      <c r="C710" s="2" t="s">
        <v>618</v>
      </c>
      <c r="D710" s="1">
        <v>2940</v>
      </c>
      <c r="E710" s="1">
        <v>15</v>
      </c>
      <c r="F710" s="5"/>
      <c r="G710" s="1" t="str">
        <f>IF(OR(ISERROR(SEARCH("recipiente",A710))=FALSE, ISERROR(SEARCH("serbatoio",A710))=FALSE, ISERROR(SEARCH("scambiatore",A710))=FALSE),
    IF(D710*E710&gt;3000,"IV",
        IF(D710*E710&gt;1000,"III",
            IF(D710*E710&gt;200,"II",
                IF(D710*E710&gt;50,"I","")
            )
        )
    ),
    IF(ISERROR(SEARCH("valvola di sicurezza",A710))=FALSE,"IV","")
)</f>
        <v/>
      </c>
    </row>
    <row r="711" spans="1:9" x14ac:dyDescent="0.3">
      <c r="A711" t="s">
        <v>65</v>
      </c>
      <c r="B711" t="s">
        <v>377</v>
      </c>
      <c r="C711" s="2" t="s">
        <v>619</v>
      </c>
      <c r="D711" s="1">
        <v>3520</v>
      </c>
      <c r="E711" s="1">
        <v>11</v>
      </c>
      <c r="F711" s="5"/>
      <c r="G711" s="1" t="str">
        <f>IF(OR(ISERROR(SEARCH("recipiente",A711))=FALSE, ISERROR(SEARCH("serbatoio",A711))=FALSE, ISERROR(SEARCH("scambiatore",A711))=FALSE),
    IF(D711*E711&gt;3000,"IV",
        IF(D711*E711&gt;1000,"III",
            IF(D711*E711&gt;200,"II",
                IF(D711*E711&gt;50,"I","")
            )
        )
    ),
    IF(ISERROR(SEARCH("valvola di sicurezza",A711))=FALSE,"IV","")
)</f>
        <v/>
      </c>
    </row>
    <row r="712" spans="1:9" x14ac:dyDescent="0.3">
      <c r="A712" t="s">
        <v>65</v>
      </c>
      <c r="B712" t="s">
        <v>377</v>
      </c>
      <c r="C712" s="2" t="s">
        <v>620</v>
      </c>
      <c r="D712" s="1">
        <v>3960</v>
      </c>
      <c r="E712" s="1">
        <v>11</v>
      </c>
      <c r="F712" s="5"/>
      <c r="G712" s="1" t="str">
        <f>IF(OR(ISERROR(SEARCH("recipiente",A712))=FALSE, ISERROR(SEARCH("serbatoio",A712))=FALSE, ISERROR(SEARCH("scambiatore",A712))=FALSE),
    IF(D712*E712&gt;3000,"IV",
        IF(D712*E712&gt;1000,"III",
            IF(D712*E712&gt;200,"II",
                IF(D712*E712&gt;50,"I","")
            )
        )
    ),
    IF(ISERROR(SEARCH("valvola di sicurezza",A712))=FALSE,"IV","")
)</f>
        <v/>
      </c>
    </row>
    <row r="713" spans="1:9" x14ac:dyDescent="0.3">
      <c r="A713" t="s">
        <v>65</v>
      </c>
      <c r="B713" t="s">
        <v>377</v>
      </c>
      <c r="C713" s="2" t="s">
        <v>621</v>
      </c>
      <c r="D713" s="1">
        <v>4650</v>
      </c>
      <c r="E713" s="1">
        <v>8</v>
      </c>
      <c r="F713" s="5"/>
      <c r="G713" s="1" t="str">
        <f>IF(OR(ISERROR(SEARCH("recipiente",A713))=FALSE, ISERROR(SEARCH("serbatoio",A713))=FALSE, ISERROR(SEARCH("scambiatore",A713))=FALSE),
    IF(D713*E713&gt;3000,"IV",
        IF(D713*E713&gt;1000,"III",
            IF(D713*E713&gt;200,"II",
                IF(D713*E713&gt;50,"I","")
            )
        )
    ),
    IF(ISERROR(SEARCH("valvola di sicurezza",A713))=FALSE,"IV","")
)</f>
        <v/>
      </c>
    </row>
    <row r="714" spans="1:9" x14ac:dyDescent="0.3">
      <c r="A714" t="s">
        <v>65</v>
      </c>
      <c r="B714" t="s">
        <v>377</v>
      </c>
      <c r="C714" s="2" t="s">
        <v>622</v>
      </c>
      <c r="D714" s="1">
        <v>3380</v>
      </c>
      <c r="E714" s="1">
        <v>15</v>
      </c>
      <c r="F714" s="5"/>
      <c r="G714" s="1" t="str">
        <f>IF(OR(ISERROR(SEARCH("recipiente",A714))=FALSE, ISERROR(SEARCH("serbatoio",A714))=FALSE, ISERROR(SEARCH("scambiatore",A714))=FALSE),
    IF(D714*E714&gt;3000,"IV",
        IF(D714*E714&gt;1000,"III",
            IF(D714*E714&gt;200,"II",
                IF(D714*E714&gt;50,"I","")
            )
        )
    ),
    IF(ISERROR(SEARCH("valvola di sicurezza",A714))=FALSE,"IV","")
)</f>
        <v/>
      </c>
    </row>
    <row r="715" spans="1:9" x14ac:dyDescent="0.3">
      <c r="A715" t="s">
        <v>65</v>
      </c>
      <c r="B715" t="s">
        <v>377</v>
      </c>
      <c r="C715" s="2" t="s">
        <v>623</v>
      </c>
      <c r="D715" s="1">
        <v>4059.9999999999995</v>
      </c>
      <c r="E715" s="1">
        <v>8</v>
      </c>
      <c r="F715" s="5"/>
      <c r="G715" s="1" t="str">
        <f>IF(OR(ISERROR(SEARCH("recipiente",A715))=FALSE, ISERROR(SEARCH("serbatoio",A715))=FALSE, ISERROR(SEARCH("scambiatore",A715))=FALSE),
    IF(D715*E715&gt;3000,"IV",
        IF(D715*E715&gt;1000,"III",
            IF(D715*E715&gt;200,"II",
                IF(D715*E715&gt;50,"I","")
            )
        )
    ),
    IF(ISERROR(SEARCH("valvola di sicurezza",A715))=FALSE,"IV","")
)</f>
        <v/>
      </c>
      <c r="H715" s="7"/>
      <c r="I715" s="7"/>
    </row>
    <row r="716" spans="1:9" x14ac:dyDescent="0.3">
      <c r="A716" t="s">
        <v>65</v>
      </c>
      <c r="B716" t="s">
        <v>377</v>
      </c>
      <c r="C716" s="2" t="s">
        <v>624</v>
      </c>
      <c r="D716" s="1">
        <v>2940</v>
      </c>
      <c r="E716" s="1">
        <v>15</v>
      </c>
      <c r="F716" s="5"/>
      <c r="G716" s="1" t="str">
        <f>IF(OR(ISERROR(SEARCH("recipiente",A716))=FALSE, ISERROR(SEARCH("serbatoio",A716))=FALSE, ISERROR(SEARCH("scambiatore",A716))=FALSE),
    IF(D716*E716&gt;3000,"IV",
        IF(D716*E716&gt;1000,"III",
            IF(D716*E716&gt;200,"II",
                IF(D716*E716&gt;50,"I","")
            )
        )
    ),
    IF(ISERROR(SEARCH("valvola di sicurezza",A716))=FALSE,"IV","")
)</f>
        <v/>
      </c>
      <c r="H716" s="7"/>
      <c r="I716" s="7"/>
    </row>
    <row r="717" spans="1:9" x14ac:dyDescent="0.3">
      <c r="A717" t="s">
        <v>65</v>
      </c>
      <c r="B717" t="s">
        <v>377</v>
      </c>
      <c r="C717" s="2" t="s">
        <v>625</v>
      </c>
      <c r="D717" s="1">
        <v>3520</v>
      </c>
      <c r="E717" s="1">
        <v>11</v>
      </c>
      <c r="F717" s="5"/>
      <c r="G717" s="1" t="str">
        <f>IF(OR(ISERROR(SEARCH("recipiente",A717))=FALSE, ISERROR(SEARCH("serbatoio",A717))=FALSE, ISERROR(SEARCH("scambiatore",A717))=FALSE),
    IF(D717*E717&gt;3000,"IV",
        IF(D717*E717&gt;1000,"III",
            IF(D717*E717&gt;200,"II",
                IF(D717*E717&gt;50,"I","")
            )
        )
    ),
    IF(ISERROR(SEARCH("valvola di sicurezza",A717))=FALSE,"IV","")
)</f>
        <v/>
      </c>
      <c r="H717" s="7"/>
      <c r="I717" s="7"/>
    </row>
    <row r="718" spans="1:9" x14ac:dyDescent="0.3">
      <c r="A718" t="s">
        <v>65</v>
      </c>
      <c r="B718" t="s">
        <v>377</v>
      </c>
      <c r="C718" s="2" t="s">
        <v>626</v>
      </c>
      <c r="D718" s="1">
        <v>3500</v>
      </c>
      <c r="E718" s="1">
        <v>8</v>
      </c>
      <c r="F718" s="5"/>
      <c r="G718" s="1" t="str">
        <f>IF(OR(ISERROR(SEARCH("recipiente",A718))=FALSE, ISERROR(SEARCH("serbatoio",A718))=FALSE, ISERROR(SEARCH("scambiatore",A718))=FALSE),
    IF(D718*E718&gt;3000,"IV",
        IF(D718*E718&gt;1000,"III",
            IF(D718*E718&gt;200,"II",
                IF(D718*E718&gt;50,"I","")
            )
        )
    ),
    IF(ISERROR(SEARCH("valvola di sicurezza",A718))=FALSE,"IV","")
)</f>
        <v/>
      </c>
      <c r="H718" s="8"/>
      <c r="I718" s="8"/>
    </row>
    <row r="719" spans="1:9" x14ac:dyDescent="0.3">
      <c r="A719" t="s">
        <v>65</v>
      </c>
      <c r="B719" t="s">
        <v>377</v>
      </c>
      <c r="C719" s="2" t="s">
        <v>627</v>
      </c>
      <c r="D719" s="1">
        <v>2350</v>
      </c>
      <c r="E719" s="1">
        <v>15</v>
      </c>
      <c r="F719" s="5"/>
      <c r="G719" s="1" t="str">
        <f>IF(OR(ISERROR(SEARCH("recipiente",A719))=FALSE, ISERROR(SEARCH("serbatoio",A719))=FALSE, ISERROR(SEARCH("scambiatore",A719))=FALSE),
    IF(D719*E719&gt;3000,"IV",
        IF(D719*E719&gt;1000,"III",
            IF(D719*E719&gt;200,"II",
                IF(D719*E719&gt;50,"I","")
            )
        )
    ),
    IF(ISERROR(SEARCH("valvola di sicurezza",A719))=FALSE,"IV","")
)</f>
        <v/>
      </c>
      <c r="H719" s="8"/>
      <c r="I719" s="8"/>
    </row>
    <row r="720" spans="1:9" x14ac:dyDescent="0.3">
      <c r="A720" t="s">
        <v>65</v>
      </c>
      <c r="B720" t="s">
        <v>377</v>
      </c>
      <c r="C720" s="2" t="s">
        <v>628</v>
      </c>
      <c r="D720" s="1">
        <v>2950</v>
      </c>
      <c r="E720" s="1">
        <v>11</v>
      </c>
      <c r="F720" s="5"/>
      <c r="G720" s="1" t="str">
        <f>IF(OR(ISERROR(SEARCH("recipiente",A720))=FALSE, ISERROR(SEARCH("serbatoio",A720))=FALSE, ISERROR(SEARCH("scambiatore",A720))=FALSE),
    IF(D720*E720&gt;3000,"IV",
        IF(D720*E720&gt;1000,"III",
            IF(D720*E720&gt;200,"II",
                IF(D720*E720&gt;50,"I","")
            )
        )
    ),
    IF(ISERROR(SEARCH("valvola di sicurezza",A720))=FALSE,"IV","")
)</f>
        <v/>
      </c>
      <c r="H720" s="8"/>
      <c r="I720" s="8"/>
    </row>
    <row r="721" spans="1:9" x14ac:dyDescent="0.3">
      <c r="A721" t="s">
        <v>65</v>
      </c>
      <c r="B721" t="s">
        <v>377</v>
      </c>
      <c r="C721" s="2" t="s">
        <v>629</v>
      </c>
      <c r="D721" s="1">
        <v>3852</v>
      </c>
      <c r="E721" s="1">
        <v>15</v>
      </c>
      <c r="F721" s="5"/>
      <c r="G721" s="1" t="str">
        <f>IF(OR(ISERROR(SEARCH("recipiente",A721))=FALSE, ISERROR(SEARCH("serbatoio",A721))=FALSE, ISERROR(SEARCH("scambiatore",A721))=FALSE),
    IF(D721*E721&gt;3000,"IV",
        IF(D721*E721&gt;1000,"III",
            IF(D721*E721&gt;200,"II",
                IF(D721*E721&gt;50,"I","")
            )
        )
    ),
    IF(ISERROR(SEARCH("valvola di sicurezza",A721))=FALSE,"IV","")
)</f>
        <v/>
      </c>
      <c r="H721" s="7"/>
      <c r="I721" s="7"/>
    </row>
    <row r="722" spans="1:9" x14ac:dyDescent="0.3">
      <c r="A722" t="s">
        <v>65</v>
      </c>
      <c r="B722" t="s">
        <v>377</v>
      </c>
      <c r="C722" s="2" t="s">
        <v>630</v>
      </c>
      <c r="D722" s="1">
        <v>4576</v>
      </c>
      <c r="E722" s="1">
        <v>8</v>
      </c>
      <c r="F722" s="5"/>
      <c r="G722" s="1" t="str">
        <f>IF(OR(ISERROR(SEARCH("recipiente",A722))=FALSE, ISERROR(SEARCH("serbatoio",A722))=FALSE, ISERROR(SEARCH("scambiatore",A722))=FALSE),
    IF(D722*E722&gt;3000,"IV",
        IF(D722*E722&gt;1000,"III",
            IF(D722*E722&gt;200,"II",
                IF(D722*E722&gt;50,"I","")
            )
        )
    ),
    IF(ISERROR(SEARCH("valvola di sicurezza",A722))=FALSE,"IV","")
)</f>
        <v/>
      </c>
      <c r="H722" s="7"/>
      <c r="I722" s="7"/>
    </row>
    <row r="723" spans="1:9" x14ac:dyDescent="0.3">
      <c r="A723" t="s">
        <v>65</v>
      </c>
      <c r="B723" t="s">
        <v>377</v>
      </c>
      <c r="C723" s="2" t="s">
        <v>631</v>
      </c>
      <c r="D723" s="1">
        <v>3373</v>
      </c>
      <c r="E723" s="1">
        <v>11</v>
      </c>
      <c r="F723" s="5"/>
      <c r="G723" s="1" t="str">
        <f>IF(OR(ISERROR(SEARCH("recipiente",A723))=FALSE, ISERROR(SEARCH("serbatoio",A723))=FALSE, ISERROR(SEARCH("scambiatore",A723))=FALSE),
    IF(D723*E723&gt;3000,"IV",
        IF(D723*E723&gt;1000,"III",
            IF(D723*E723&gt;200,"II",
                IF(D723*E723&gt;50,"I","")
            )
        )
    ),
    IF(ISERROR(SEARCH("valvola di sicurezza",A723))=FALSE,"IV","")
)</f>
        <v/>
      </c>
      <c r="H723" s="7"/>
      <c r="I723" s="7"/>
    </row>
    <row r="724" spans="1:9" x14ac:dyDescent="0.3">
      <c r="A724" t="s">
        <v>65</v>
      </c>
      <c r="B724" t="s">
        <v>377</v>
      </c>
      <c r="C724" s="2" t="s">
        <v>632</v>
      </c>
      <c r="D724" s="1">
        <v>3510</v>
      </c>
      <c r="E724" s="1">
        <v>8</v>
      </c>
      <c r="F724" s="5"/>
      <c r="G724" s="1" t="str">
        <f>IF(OR(ISERROR(SEARCH("recipiente",A724))=FALSE, ISERROR(SEARCH("serbatoio",A724))=FALSE, ISERROR(SEARCH("scambiatore",A724))=FALSE),
    IF(D724*E724&gt;3000,"IV",
        IF(D724*E724&gt;1000,"III",
            IF(D724*E724&gt;200,"II",
                IF(D724*E724&gt;50,"I","")
            )
        )
    ),
    IF(ISERROR(SEARCH("valvola di sicurezza",A724))=FALSE,"IV","")
)</f>
        <v/>
      </c>
      <c r="H724" s="7"/>
      <c r="I724" s="7"/>
    </row>
    <row r="725" spans="1:9" x14ac:dyDescent="0.3">
      <c r="A725" t="s">
        <v>65</v>
      </c>
      <c r="B725" t="s">
        <v>377</v>
      </c>
      <c r="C725" s="2" t="s">
        <v>633</v>
      </c>
      <c r="D725" s="1">
        <v>2500</v>
      </c>
      <c r="E725" s="1">
        <v>15</v>
      </c>
      <c r="F725" s="5"/>
      <c r="G725" s="1" t="str">
        <f>IF(OR(ISERROR(SEARCH("recipiente",A725))=FALSE, ISERROR(SEARCH("serbatoio",A725))=FALSE, ISERROR(SEARCH("scambiatore",A725))=FALSE),
    IF(D725*E725&gt;3000,"IV",
        IF(D725*E725&gt;1000,"III",
            IF(D725*E725&gt;200,"II",
                IF(D725*E725&gt;50,"I","")
            )
        )
    ),
    IF(ISERROR(SEARCH("valvola di sicurezza",A725))=FALSE,"IV","")
)</f>
        <v/>
      </c>
      <c r="H725" s="7"/>
      <c r="I725" s="7"/>
    </row>
    <row r="726" spans="1:9" x14ac:dyDescent="0.3">
      <c r="A726" t="s">
        <v>634</v>
      </c>
      <c r="B726" t="s">
        <v>377</v>
      </c>
      <c r="C726" s="2" t="s">
        <v>635</v>
      </c>
      <c r="D726" s="1">
        <v>836</v>
      </c>
      <c r="E726" s="1">
        <v>15</v>
      </c>
      <c r="F726" s="5"/>
      <c r="G726" s="1" t="str">
        <f>IF(OR(ISERROR(SEARCH("recipiente",A726))=FALSE, ISERROR(SEARCH("serbatoio",A726))=FALSE, ISERROR(SEARCH("scambiatore",A726))=FALSE),
    IF(D726*E726&gt;3000,"IV",
        IF(D726*E726&gt;1000,"III",
            IF(D726*E726&gt;200,"II",
                IF(D726*E726&gt;50,"I","")
            )
        )
    ),
    IF(ISERROR(SEARCH("valvola di sicurezza",A726))=FALSE,"IV","")
)</f>
        <v/>
      </c>
      <c r="H726" s="7"/>
      <c r="I726" s="7"/>
    </row>
    <row r="727" spans="1:9" x14ac:dyDescent="0.3">
      <c r="A727" t="s">
        <v>634</v>
      </c>
      <c r="B727" t="s">
        <v>377</v>
      </c>
      <c r="C727" s="2" t="s">
        <v>636</v>
      </c>
      <c r="D727" s="1">
        <v>750</v>
      </c>
      <c r="E727" s="1">
        <v>10</v>
      </c>
      <c r="F727" s="5"/>
      <c r="G727" s="1" t="str">
        <f>IF(OR(ISERROR(SEARCH("recipiente",A727))=FALSE, ISERROR(SEARCH("serbatoio",A727))=FALSE, ISERROR(SEARCH("scambiatore",A727))=FALSE),
    IF(D727*E727&gt;3000,"IV",
        IF(D727*E727&gt;1000,"III",
            IF(D727*E727&gt;200,"II",
                IF(D727*E727&gt;50,"I","")
            )
        )
    ),
    IF(ISERROR(SEARCH("valvola di sicurezza",A727))=FALSE,"IV","")
)</f>
        <v/>
      </c>
      <c r="H727" s="7"/>
      <c r="I727" s="7"/>
    </row>
    <row r="728" spans="1:9" x14ac:dyDescent="0.3">
      <c r="A728" t="s">
        <v>634</v>
      </c>
      <c r="B728" t="s">
        <v>377</v>
      </c>
      <c r="C728" s="2" t="s">
        <v>637</v>
      </c>
      <c r="D728" s="1">
        <v>192</v>
      </c>
      <c r="E728" s="1">
        <v>15</v>
      </c>
      <c r="F728" s="5"/>
      <c r="G728" s="1" t="str">
        <f>IF(OR(ISERROR(SEARCH("recipiente",A728))=FALSE, ISERROR(SEARCH("serbatoio",A728))=FALSE, ISERROR(SEARCH("scambiatore",A728))=FALSE),
    IF(D728*E728&gt;3000,"IV",
        IF(D728*E728&gt;1000,"III",
            IF(D728*E728&gt;200,"II",
                IF(D728*E728&gt;50,"I","")
            )
        )
    ),
    IF(ISERROR(SEARCH("valvola di sicurezza",A728))=FALSE,"IV","")
)</f>
        <v/>
      </c>
      <c r="H728" s="7"/>
      <c r="I728" s="7"/>
    </row>
    <row r="729" spans="1:9" x14ac:dyDescent="0.3">
      <c r="A729" t="s">
        <v>634</v>
      </c>
      <c r="B729" t="s">
        <v>377</v>
      </c>
      <c r="C729" s="2" t="s">
        <v>638</v>
      </c>
      <c r="D729" s="1">
        <v>280</v>
      </c>
      <c r="E729" s="1">
        <v>10</v>
      </c>
      <c r="F729" s="5"/>
      <c r="G729" s="1" t="str">
        <f>IF(OR(ISERROR(SEARCH("recipiente",A729))=FALSE, ISERROR(SEARCH("serbatoio",A729))=FALSE, ISERROR(SEARCH("scambiatore",A729))=FALSE),
    IF(D729*E729&gt;3000,"IV",
        IF(D729*E729&gt;1000,"III",
            IF(D729*E729&gt;200,"II",
                IF(D729*E729&gt;50,"I","")
            )
        )
    ),
    IF(ISERROR(SEARCH("valvola di sicurezza",A729))=FALSE,"IV","")
)</f>
        <v/>
      </c>
      <c r="H729" s="7"/>
      <c r="I729" s="7"/>
    </row>
    <row r="730" spans="1:9" x14ac:dyDescent="0.3">
      <c r="A730" t="s">
        <v>634</v>
      </c>
      <c r="B730" t="s">
        <v>377</v>
      </c>
      <c r="C730" s="2" t="s">
        <v>639</v>
      </c>
      <c r="D730" s="1">
        <v>344</v>
      </c>
      <c r="E730" s="1">
        <v>15</v>
      </c>
      <c r="F730" s="5"/>
      <c r="G730" s="1" t="str">
        <f>IF(OR(ISERROR(SEARCH("recipiente",A730))=FALSE, ISERROR(SEARCH("serbatoio",A730))=FALSE, ISERROR(SEARCH("scambiatore",A730))=FALSE),
    IF(D730*E730&gt;3000,"IV",
        IF(D730*E730&gt;1000,"III",
            IF(D730*E730&gt;200,"II",
                IF(D730*E730&gt;50,"I","")
            )
        )
    ),
    IF(ISERROR(SEARCH("valvola di sicurezza",A730))=FALSE,"IV","")
)</f>
        <v/>
      </c>
      <c r="H730" s="7"/>
      <c r="I730" s="7"/>
    </row>
    <row r="731" spans="1:9" x14ac:dyDescent="0.3">
      <c r="A731" t="s">
        <v>634</v>
      </c>
      <c r="B731" t="s">
        <v>377</v>
      </c>
      <c r="C731" s="2" t="s">
        <v>640</v>
      </c>
      <c r="D731" s="1">
        <v>460</v>
      </c>
      <c r="E731" s="1">
        <v>15</v>
      </c>
      <c r="F731" s="5"/>
      <c r="G731" s="1" t="str">
        <f>IF(OR(ISERROR(SEARCH("recipiente",A731))=FALSE, ISERROR(SEARCH("serbatoio",A731))=FALSE, ISERROR(SEARCH("scambiatore",A731))=FALSE),
    IF(D731*E731&gt;3000,"IV",
        IF(D731*E731&gt;1000,"III",
            IF(D731*E731&gt;200,"II",
                IF(D731*E731&gt;50,"I","")
            )
        )
    ),
    IF(ISERROR(SEARCH("valvola di sicurezza",A731))=FALSE,"IV","")
)</f>
        <v/>
      </c>
      <c r="H731" s="7"/>
      <c r="I731" s="7"/>
    </row>
    <row r="732" spans="1:9" x14ac:dyDescent="0.3">
      <c r="A732" t="s">
        <v>634</v>
      </c>
      <c r="B732" t="s">
        <v>377</v>
      </c>
      <c r="C732" s="2" t="s">
        <v>641</v>
      </c>
      <c r="D732" s="1">
        <v>460</v>
      </c>
      <c r="E732" s="1">
        <v>15</v>
      </c>
      <c r="F732" s="5"/>
      <c r="G732" s="1" t="str">
        <f>IF(OR(ISERROR(SEARCH("recipiente",A732))=FALSE, ISERROR(SEARCH("serbatoio",A732))=FALSE, ISERROR(SEARCH("scambiatore",A732))=FALSE),
    IF(D732*E732&gt;3000,"IV",
        IF(D732*E732&gt;1000,"III",
            IF(D732*E732&gt;200,"II",
                IF(D732*E732&gt;50,"I","")
            )
        )
    ),
    IF(ISERROR(SEARCH("valvola di sicurezza",A732))=FALSE,"IV","")
)</f>
        <v/>
      </c>
      <c r="H732" s="7"/>
      <c r="I732" s="7"/>
    </row>
    <row r="733" spans="1:9" x14ac:dyDescent="0.3">
      <c r="A733" t="s">
        <v>634</v>
      </c>
      <c r="B733" t="s">
        <v>377</v>
      </c>
      <c r="C733" s="2" t="s">
        <v>642</v>
      </c>
      <c r="D733" s="1">
        <v>410</v>
      </c>
      <c r="E733" s="1">
        <v>10</v>
      </c>
      <c r="F733" s="5"/>
      <c r="G733" s="1" t="str">
        <f>IF(OR(ISERROR(SEARCH("recipiente",A733))=FALSE, ISERROR(SEARCH("serbatoio",A733))=FALSE, ISERROR(SEARCH("scambiatore",A733))=FALSE),
    IF(D733*E733&gt;3000,"IV",
        IF(D733*E733&gt;1000,"III",
            IF(D733*E733&gt;200,"II",
                IF(D733*E733&gt;50,"I","")
            )
        )
    ),
    IF(ISERROR(SEARCH("valvola di sicurezza",A733))=FALSE,"IV","")
)</f>
        <v/>
      </c>
      <c r="H733" s="7"/>
      <c r="I733" s="7"/>
    </row>
    <row r="734" spans="1:9" x14ac:dyDescent="0.3">
      <c r="A734" t="s">
        <v>634</v>
      </c>
      <c r="B734" t="s">
        <v>377</v>
      </c>
      <c r="C734" s="2" t="s">
        <v>643</v>
      </c>
      <c r="D734" s="1">
        <v>620</v>
      </c>
      <c r="E734" s="1">
        <v>15</v>
      </c>
      <c r="F734" s="5"/>
      <c r="G734" s="1" t="str">
        <f>IF(OR(ISERROR(SEARCH("recipiente",A734))=FALSE, ISERROR(SEARCH("serbatoio",A734))=FALSE, ISERROR(SEARCH("scambiatore",A734))=FALSE),
    IF(D734*E734&gt;3000,"IV",
        IF(D734*E734&gt;1000,"III",
            IF(D734*E734&gt;200,"II",
                IF(D734*E734&gt;50,"I","")
            )
        )
    ),
    IF(ISERROR(SEARCH("valvola di sicurezza",A734))=FALSE,"IV","")
)</f>
        <v/>
      </c>
      <c r="H734" s="8"/>
      <c r="I734" s="8"/>
    </row>
    <row r="735" spans="1:9" x14ac:dyDescent="0.3">
      <c r="A735" t="s">
        <v>634</v>
      </c>
      <c r="B735" t="s">
        <v>377</v>
      </c>
      <c r="C735" s="2" t="s">
        <v>644</v>
      </c>
      <c r="D735" s="1">
        <v>590</v>
      </c>
      <c r="E735" s="1">
        <v>10</v>
      </c>
      <c r="F735" s="5"/>
      <c r="G735" s="1" t="str">
        <f>IF(OR(ISERROR(SEARCH("recipiente",A735))=FALSE, ISERROR(SEARCH("serbatoio",A735))=FALSE, ISERROR(SEARCH("scambiatore",A735))=FALSE),
    IF(D735*E735&gt;3000,"IV",
        IF(D735*E735&gt;1000,"III",
            IF(D735*E735&gt;200,"II",
                IF(D735*E735&gt;50,"I","")
            )
        )
    ),
    IF(ISERROR(SEARCH("valvola di sicurezza",A735))=FALSE,"IV","")
)</f>
        <v/>
      </c>
      <c r="H735" s="7"/>
      <c r="I735" s="7"/>
    </row>
    <row r="736" spans="1:9" x14ac:dyDescent="0.3">
      <c r="A736" t="s">
        <v>645</v>
      </c>
      <c r="B736" t="s">
        <v>377</v>
      </c>
      <c r="C736" s="2" t="s">
        <v>646</v>
      </c>
      <c r="D736" s="1">
        <v>106200</v>
      </c>
      <c r="E736" s="1">
        <v>16</v>
      </c>
      <c r="F736" s="5">
        <v>66</v>
      </c>
      <c r="G736" s="1" t="str">
        <f>IF(OR(ISERROR(SEARCH("recipiente",A736))=FALSE, ISERROR(SEARCH("serbatoio",A736))=FALSE, ISERROR(SEARCH("scambiatore",A736))=FALSE),
    IF(D736*E736&gt;3000,"IV",
        IF(D736*E736&gt;1000,"III",
            IF(D736*E736&gt;200,"II",
                IF(D736*E736&gt;50,"I","")
            )
        )
    ),
    IF(ISERROR(SEARCH("valvola di sicurezza",A736))=FALSE,"IV","")
)</f>
        <v/>
      </c>
      <c r="H736" s="7"/>
      <c r="I736" s="7"/>
    </row>
    <row r="737" spans="1:9" x14ac:dyDescent="0.3">
      <c r="A737" t="s">
        <v>645</v>
      </c>
      <c r="B737" t="s">
        <v>377</v>
      </c>
      <c r="C737" s="2" t="s">
        <v>647</v>
      </c>
      <c r="D737" s="1">
        <v>106200</v>
      </c>
      <c r="E737" s="1">
        <v>16</v>
      </c>
      <c r="F737" s="5">
        <v>66</v>
      </c>
      <c r="G737" s="1" t="str">
        <f>IF(OR(ISERROR(SEARCH("recipiente",A737))=FALSE, ISERROR(SEARCH("serbatoio",A737))=FALSE, ISERROR(SEARCH("scambiatore",A737))=FALSE),
    IF(D737*E737&gt;3000,"IV",
        IF(D737*E737&gt;1000,"III",
            IF(D737*E737&gt;200,"II",
                IF(D737*E737&gt;50,"I","")
            )
        )
    ),
    IF(ISERROR(SEARCH("valvola di sicurezza",A737))=FALSE,"IV","")
)</f>
        <v/>
      </c>
      <c r="H737" s="8"/>
      <c r="I737" s="8"/>
    </row>
    <row r="738" spans="1:9" x14ac:dyDescent="0.3">
      <c r="A738" t="s">
        <v>645</v>
      </c>
      <c r="B738" t="s">
        <v>377</v>
      </c>
      <c r="C738" s="2" t="s">
        <v>648</v>
      </c>
      <c r="D738" s="1">
        <v>106200</v>
      </c>
      <c r="E738" s="1">
        <v>16</v>
      </c>
      <c r="F738" s="5">
        <v>66</v>
      </c>
      <c r="G738" s="1" t="str">
        <f>IF(OR(ISERROR(SEARCH("recipiente",A738))=FALSE, ISERROR(SEARCH("serbatoio",A738))=FALSE, ISERROR(SEARCH("scambiatore",A738))=FALSE),
    IF(D738*E738&gt;3000,"IV",
        IF(D738*E738&gt;1000,"III",
            IF(D738*E738&gt;200,"II",
                IF(D738*E738&gt;50,"I","")
            )
        )
    ),
    IF(ISERROR(SEARCH("valvola di sicurezza",A738))=FALSE,"IV","")
)</f>
        <v/>
      </c>
      <c r="H738" s="8"/>
      <c r="I738" s="8"/>
    </row>
    <row r="739" spans="1:9" x14ac:dyDescent="0.3">
      <c r="A739" t="s">
        <v>645</v>
      </c>
      <c r="B739" t="s">
        <v>377</v>
      </c>
      <c r="C739" s="2" t="s">
        <v>649</v>
      </c>
      <c r="D739" s="1">
        <v>141600</v>
      </c>
      <c r="E739" s="1">
        <v>16</v>
      </c>
      <c r="F739" s="5">
        <v>66</v>
      </c>
      <c r="G739" s="1" t="str">
        <f>IF(OR(ISERROR(SEARCH("recipiente",A739))=FALSE, ISERROR(SEARCH("serbatoio",A739))=FALSE, ISERROR(SEARCH("scambiatore",A739))=FALSE),
    IF(D739*E739&gt;3000,"IV",
        IF(D739*E739&gt;1000,"III",
            IF(D739*E739&gt;200,"II",
                IF(D739*E739&gt;50,"I","")
            )
        )
    ),
    IF(ISERROR(SEARCH("valvola di sicurezza",A739))=FALSE,"IV","")
)</f>
        <v/>
      </c>
      <c r="H739" s="7"/>
      <c r="I739" s="7"/>
    </row>
    <row r="740" spans="1:9" x14ac:dyDescent="0.3">
      <c r="A740" t="s">
        <v>645</v>
      </c>
      <c r="B740" t="s">
        <v>377</v>
      </c>
      <c r="C740" s="2" t="s">
        <v>650</v>
      </c>
      <c r="D740" s="1">
        <v>141600</v>
      </c>
      <c r="E740" s="1">
        <v>16</v>
      </c>
      <c r="F740" s="5">
        <v>66</v>
      </c>
      <c r="G740" s="1" t="str">
        <f>IF(OR(ISERROR(SEARCH("recipiente",A740))=FALSE, ISERROR(SEARCH("serbatoio",A740))=FALSE, ISERROR(SEARCH("scambiatore",A740))=FALSE),
    IF(D740*E740&gt;3000,"IV",
        IF(D740*E740&gt;1000,"III",
            IF(D740*E740&gt;200,"II",
                IF(D740*E740&gt;50,"I","")
            )
        )
    ),
    IF(ISERROR(SEARCH("valvola di sicurezza",A740))=FALSE,"IV","")
)</f>
        <v/>
      </c>
      <c r="H740" s="7"/>
      <c r="I740" s="7"/>
    </row>
    <row r="741" spans="1:9" x14ac:dyDescent="0.3">
      <c r="A741" t="s">
        <v>645</v>
      </c>
      <c r="B741" t="s">
        <v>377</v>
      </c>
      <c r="C741" s="2" t="s">
        <v>651</v>
      </c>
      <c r="D741" s="1">
        <v>141600</v>
      </c>
      <c r="E741" s="1">
        <v>16</v>
      </c>
      <c r="F741" s="5">
        <v>66</v>
      </c>
      <c r="G741" s="1" t="str">
        <f>IF(OR(ISERROR(SEARCH("recipiente",A741))=FALSE, ISERROR(SEARCH("serbatoio",A741))=FALSE, ISERROR(SEARCH("scambiatore",A741))=FALSE),
    IF(D741*E741&gt;3000,"IV",
        IF(D741*E741&gt;1000,"III",
            IF(D741*E741&gt;200,"II",
                IF(D741*E741&gt;50,"I","")
            )
        )
    ),
    IF(ISERROR(SEARCH("valvola di sicurezza",A741))=FALSE,"IV","")
)</f>
        <v/>
      </c>
      <c r="H741" s="8"/>
      <c r="I741" s="8"/>
    </row>
    <row r="742" spans="1:9" x14ac:dyDescent="0.3">
      <c r="A742" t="s">
        <v>645</v>
      </c>
      <c r="B742" t="s">
        <v>377</v>
      </c>
      <c r="C742" s="2" t="s">
        <v>652</v>
      </c>
      <c r="D742" s="1">
        <v>194700</v>
      </c>
      <c r="E742" s="1">
        <v>16</v>
      </c>
      <c r="F742" s="5">
        <v>66</v>
      </c>
      <c r="G742" s="1" t="str">
        <f>IF(OR(ISERROR(SEARCH("recipiente",A742))=FALSE, ISERROR(SEARCH("serbatoio",A742))=FALSE, ISERROR(SEARCH("scambiatore",A742))=FALSE),
    IF(D742*E742&gt;3000,"IV",
        IF(D742*E742&gt;1000,"III",
            IF(D742*E742&gt;200,"II",
                IF(D742*E742&gt;50,"I","")
            )
        )
    ),
    IF(ISERROR(SEARCH("valvola di sicurezza",A742))=FALSE,"IV","")
)</f>
        <v/>
      </c>
      <c r="H742" s="8"/>
      <c r="I742" s="8"/>
    </row>
    <row r="743" spans="1:9" x14ac:dyDescent="0.3">
      <c r="A743" t="s">
        <v>645</v>
      </c>
      <c r="B743" t="s">
        <v>377</v>
      </c>
      <c r="C743" s="2" t="s">
        <v>653</v>
      </c>
      <c r="D743" s="1">
        <v>194700</v>
      </c>
      <c r="E743" s="1">
        <v>16</v>
      </c>
      <c r="F743" s="5">
        <v>66</v>
      </c>
      <c r="G743" s="1" t="str">
        <f>IF(OR(ISERROR(SEARCH("recipiente",A743))=FALSE, ISERROR(SEARCH("serbatoio",A743))=FALSE, ISERROR(SEARCH("scambiatore",A743))=FALSE),
    IF(D743*E743&gt;3000,"IV",
        IF(D743*E743&gt;1000,"III",
            IF(D743*E743&gt;200,"II",
                IF(D743*E743&gt;50,"I","")
            )
        )
    ),
    IF(ISERROR(SEARCH("valvola di sicurezza",A743))=FALSE,"IV","")
)</f>
        <v/>
      </c>
      <c r="H743" s="7"/>
      <c r="I743" s="7"/>
    </row>
    <row r="744" spans="1:9" x14ac:dyDescent="0.3">
      <c r="A744" t="s">
        <v>645</v>
      </c>
      <c r="B744" t="s">
        <v>377</v>
      </c>
      <c r="C744" s="2" t="s">
        <v>654</v>
      </c>
      <c r="D744" s="1">
        <v>194700</v>
      </c>
      <c r="E744" s="1">
        <v>16</v>
      </c>
      <c r="F744" s="5">
        <v>66</v>
      </c>
      <c r="G744" s="1" t="str">
        <f>IF(OR(ISERROR(SEARCH("recipiente",A744))=FALSE, ISERROR(SEARCH("serbatoio",A744))=FALSE, ISERROR(SEARCH("scambiatore",A744))=FALSE),
    IF(D744*E744&gt;3000,"IV",
        IF(D744*E744&gt;1000,"III",
            IF(D744*E744&gt;200,"II",
                IF(D744*E744&gt;50,"I","")
            )
        )
    ),
    IF(ISERROR(SEARCH("valvola di sicurezza",A744))=FALSE,"IV","")
)</f>
        <v/>
      </c>
      <c r="H744" s="7"/>
      <c r="I744" s="7"/>
    </row>
    <row r="745" spans="1:9" x14ac:dyDescent="0.3">
      <c r="A745" t="s">
        <v>645</v>
      </c>
      <c r="B745" t="s">
        <v>377</v>
      </c>
      <c r="C745" s="2" t="s">
        <v>655</v>
      </c>
      <c r="D745" s="1">
        <v>35400</v>
      </c>
      <c r="E745" s="1">
        <v>16</v>
      </c>
      <c r="F745" s="5">
        <v>66</v>
      </c>
      <c r="G745" s="1" t="str">
        <f>IF(OR(ISERROR(SEARCH("recipiente",A745))=FALSE, ISERROR(SEARCH("serbatoio",A745))=FALSE, ISERROR(SEARCH("scambiatore",A745))=FALSE),
    IF(D745*E745&gt;3000,"IV",
        IF(D745*E745&gt;1000,"III",
            IF(D745*E745&gt;200,"II",
                IF(D745*E745&gt;50,"I","")
            )
        )
    ),
    IF(ISERROR(SEARCH("valvola di sicurezza",A745))=FALSE,"IV","")
)</f>
        <v/>
      </c>
      <c r="H745" s="7"/>
      <c r="I745" s="7"/>
    </row>
    <row r="746" spans="1:9" x14ac:dyDescent="0.3">
      <c r="A746" t="s">
        <v>645</v>
      </c>
      <c r="B746" t="s">
        <v>377</v>
      </c>
      <c r="C746" s="2" t="s">
        <v>656</v>
      </c>
      <c r="D746" s="1">
        <v>35400</v>
      </c>
      <c r="E746" s="1">
        <v>16</v>
      </c>
      <c r="F746" s="5">
        <v>66</v>
      </c>
      <c r="G746" s="1" t="str">
        <f>IF(OR(ISERROR(SEARCH("recipiente",A746))=FALSE, ISERROR(SEARCH("serbatoio",A746))=FALSE, ISERROR(SEARCH("scambiatore",A746))=FALSE),
    IF(D746*E746&gt;3000,"IV",
        IF(D746*E746&gt;1000,"III",
            IF(D746*E746&gt;200,"II",
                IF(D746*E746&gt;50,"I","")
            )
        )
    ),
    IF(ISERROR(SEARCH("valvola di sicurezza",A746))=FALSE,"IV","")
)</f>
        <v/>
      </c>
      <c r="H746" s="7"/>
      <c r="I746" s="7"/>
    </row>
    <row r="747" spans="1:9" x14ac:dyDescent="0.3">
      <c r="A747" t="s">
        <v>645</v>
      </c>
      <c r="B747" t="s">
        <v>377</v>
      </c>
      <c r="C747" s="2" t="s">
        <v>657</v>
      </c>
      <c r="D747" s="1">
        <v>35400</v>
      </c>
      <c r="E747" s="1">
        <v>16</v>
      </c>
      <c r="F747" s="5">
        <v>66</v>
      </c>
      <c r="G747" s="1" t="str">
        <f>IF(OR(ISERROR(SEARCH("recipiente",A747))=FALSE, ISERROR(SEARCH("serbatoio",A747))=FALSE, ISERROR(SEARCH("scambiatore",A747))=FALSE),
    IF(D747*E747&gt;3000,"IV",
        IF(D747*E747&gt;1000,"III",
            IF(D747*E747&gt;200,"II",
                IF(D747*E747&gt;50,"I","")
            )
        )
    ),
    IF(ISERROR(SEARCH("valvola di sicurezza",A747))=FALSE,"IV","")
)</f>
        <v/>
      </c>
      <c r="H747" s="7"/>
      <c r="I747" s="7"/>
    </row>
    <row r="748" spans="1:9" x14ac:dyDescent="0.3">
      <c r="A748" t="s">
        <v>645</v>
      </c>
      <c r="B748" t="s">
        <v>377</v>
      </c>
      <c r="C748" s="2" t="s">
        <v>658</v>
      </c>
      <c r="D748" s="1">
        <v>53100</v>
      </c>
      <c r="E748" s="1">
        <v>16</v>
      </c>
      <c r="F748" s="5">
        <v>66</v>
      </c>
      <c r="G748" s="1" t="str">
        <f>IF(OR(ISERROR(SEARCH("recipiente",A748))=FALSE, ISERROR(SEARCH("serbatoio",A748))=FALSE, ISERROR(SEARCH("scambiatore",A748))=FALSE),
    IF(D748*E748&gt;3000,"IV",
        IF(D748*E748&gt;1000,"III",
            IF(D748*E748&gt;200,"II",
                IF(D748*E748&gt;50,"I","")
            )
        )
    ),
    IF(ISERROR(SEARCH("valvola di sicurezza",A748))=FALSE,"IV","")
)</f>
        <v/>
      </c>
      <c r="H748" s="7"/>
      <c r="I748" s="7"/>
    </row>
    <row r="749" spans="1:9" x14ac:dyDescent="0.3">
      <c r="A749" t="s">
        <v>645</v>
      </c>
      <c r="B749" t="s">
        <v>377</v>
      </c>
      <c r="C749" s="2" t="s">
        <v>659</v>
      </c>
      <c r="D749" s="1">
        <v>53100</v>
      </c>
      <c r="E749" s="1">
        <v>16</v>
      </c>
      <c r="F749" s="5">
        <v>66</v>
      </c>
      <c r="G749" s="1" t="str">
        <f>IF(OR(ISERROR(SEARCH("recipiente",A749))=FALSE, ISERROR(SEARCH("serbatoio",A749))=FALSE, ISERROR(SEARCH("scambiatore",A749))=FALSE),
    IF(D749*E749&gt;3000,"IV",
        IF(D749*E749&gt;1000,"III",
            IF(D749*E749&gt;200,"II",
                IF(D749*E749&gt;50,"I","")
            )
        )
    ),
    IF(ISERROR(SEARCH("valvola di sicurezza",A749))=FALSE,"IV","")
)</f>
        <v/>
      </c>
      <c r="H749" s="8"/>
      <c r="I749" s="8"/>
    </row>
    <row r="750" spans="1:9" x14ac:dyDescent="0.3">
      <c r="A750" t="s">
        <v>645</v>
      </c>
      <c r="B750" t="s">
        <v>377</v>
      </c>
      <c r="C750" s="2" t="s">
        <v>660</v>
      </c>
      <c r="D750" s="1">
        <v>53100</v>
      </c>
      <c r="E750" s="1">
        <v>16</v>
      </c>
      <c r="F750" s="5">
        <v>66</v>
      </c>
      <c r="G750" s="1" t="str">
        <f>IF(OR(ISERROR(SEARCH("recipiente",A750))=FALSE, ISERROR(SEARCH("serbatoio",A750))=FALSE, ISERROR(SEARCH("scambiatore",A750))=FALSE),
    IF(D750*E750&gt;3000,"IV",
        IF(D750*E750&gt;1000,"III",
            IF(D750*E750&gt;200,"II",
                IF(D750*E750&gt;50,"I","")
            )
        )
    ),
    IF(ISERROR(SEARCH("valvola di sicurezza",A750))=FALSE,"IV","")
)</f>
        <v/>
      </c>
      <c r="H750" s="8"/>
      <c r="I750" s="8"/>
    </row>
    <row r="751" spans="1:9" x14ac:dyDescent="0.3">
      <c r="A751" t="s">
        <v>645</v>
      </c>
      <c r="B751" t="s">
        <v>377</v>
      </c>
      <c r="C751" s="2" t="s">
        <v>661</v>
      </c>
      <c r="D751" s="1">
        <v>70800</v>
      </c>
      <c r="E751" s="1">
        <v>16</v>
      </c>
      <c r="F751" s="5">
        <v>66</v>
      </c>
      <c r="G751" s="1" t="str">
        <f>IF(OR(ISERROR(SEARCH("recipiente",A751))=FALSE, ISERROR(SEARCH("serbatoio",A751))=FALSE, ISERROR(SEARCH("scambiatore",A751))=FALSE),
    IF(D751*E751&gt;3000,"IV",
        IF(D751*E751&gt;1000,"III",
            IF(D751*E751&gt;200,"II",
                IF(D751*E751&gt;50,"I","")
            )
        )
    ),
    IF(ISERROR(SEARCH("valvola di sicurezza",A751))=FALSE,"IV","")
)</f>
        <v/>
      </c>
      <c r="H751" s="8"/>
      <c r="I751" s="8"/>
    </row>
    <row r="752" spans="1:9" x14ac:dyDescent="0.3">
      <c r="A752" t="s">
        <v>645</v>
      </c>
      <c r="B752" t="s">
        <v>377</v>
      </c>
      <c r="C752" s="2" t="s">
        <v>662</v>
      </c>
      <c r="D752" s="1">
        <v>70800</v>
      </c>
      <c r="E752" s="1">
        <v>16</v>
      </c>
      <c r="F752" s="5">
        <v>66</v>
      </c>
      <c r="G752" s="1" t="str">
        <f>IF(OR(ISERROR(SEARCH("recipiente",A752))=FALSE, ISERROR(SEARCH("serbatoio",A752))=FALSE, ISERROR(SEARCH("scambiatore",A752))=FALSE),
    IF(D752*E752&gt;3000,"IV",
        IF(D752*E752&gt;1000,"III",
            IF(D752*E752&gt;200,"II",
                IF(D752*E752&gt;50,"I","")
            )
        )
    ),
    IF(ISERROR(SEARCH("valvola di sicurezza",A752))=FALSE,"IV","")
)</f>
        <v/>
      </c>
      <c r="H752" s="8"/>
      <c r="I752" s="8"/>
    </row>
    <row r="753" spans="1:9" x14ac:dyDescent="0.3">
      <c r="A753" t="s">
        <v>645</v>
      </c>
      <c r="B753" t="s">
        <v>377</v>
      </c>
      <c r="C753" s="2" t="s">
        <v>663</v>
      </c>
      <c r="D753" s="1">
        <v>70800</v>
      </c>
      <c r="E753" s="1">
        <v>16</v>
      </c>
      <c r="F753" s="5">
        <v>66</v>
      </c>
      <c r="G753" s="1" t="str">
        <f>IF(OR(ISERROR(SEARCH("recipiente",A753))=FALSE, ISERROR(SEARCH("serbatoio",A753))=FALSE, ISERROR(SEARCH("scambiatore",A753))=FALSE),
    IF(D753*E753&gt;3000,"IV",
        IF(D753*E753&gt;1000,"III",
            IF(D753*E753&gt;200,"II",
                IF(D753*E753&gt;50,"I","")
            )
        )
    ),
    IF(ISERROR(SEARCH("valvola di sicurezza",A753))=FALSE,"IV","")
)</f>
        <v/>
      </c>
      <c r="H753" s="7"/>
      <c r="I753" s="7"/>
    </row>
    <row r="754" spans="1:9" x14ac:dyDescent="0.3">
      <c r="A754" t="s">
        <v>645</v>
      </c>
      <c r="B754" t="s">
        <v>377</v>
      </c>
      <c r="C754" s="2" t="s">
        <v>664</v>
      </c>
      <c r="D754" s="1">
        <v>88500</v>
      </c>
      <c r="E754" s="1">
        <v>16</v>
      </c>
      <c r="F754" s="5">
        <v>66</v>
      </c>
      <c r="G754" s="1" t="str">
        <f>IF(OR(ISERROR(SEARCH("recipiente",A754))=FALSE, ISERROR(SEARCH("serbatoio",A754))=FALSE, ISERROR(SEARCH("scambiatore",A754))=FALSE),
    IF(D754*E754&gt;3000,"IV",
        IF(D754*E754&gt;1000,"III",
            IF(D754*E754&gt;200,"II",
                IF(D754*E754&gt;50,"I","")
            )
        )
    ),
    IF(ISERROR(SEARCH("valvola di sicurezza",A754))=FALSE,"IV","")
)</f>
        <v/>
      </c>
      <c r="H754" s="7"/>
      <c r="I754" s="7"/>
    </row>
    <row r="755" spans="1:9" x14ac:dyDescent="0.3">
      <c r="A755" t="s">
        <v>645</v>
      </c>
      <c r="B755" t="s">
        <v>377</v>
      </c>
      <c r="C755" s="2" t="s">
        <v>665</v>
      </c>
      <c r="D755" s="1">
        <v>88500</v>
      </c>
      <c r="E755" s="1">
        <v>16</v>
      </c>
      <c r="F755" s="5">
        <v>66</v>
      </c>
      <c r="G755" s="1" t="str">
        <f>IF(OR(ISERROR(SEARCH("recipiente",A755))=FALSE, ISERROR(SEARCH("serbatoio",A755))=FALSE, ISERROR(SEARCH("scambiatore",A755))=FALSE),
    IF(D755*E755&gt;3000,"IV",
        IF(D755*E755&gt;1000,"III",
            IF(D755*E755&gt;200,"II",
                IF(D755*E755&gt;50,"I","")
            )
        )
    ),
    IF(ISERROR(SEARCH("valvola di sicurezza",A755))=FALSE,"IV","")
)</f>
        <v/>
      </c>
      <c r="H755" s="7"/>
      <c r="I755" s="7"/>
    </row>
    <row r="756" spans="1:9" x14ac:dyDescent="0.3">
      <c r="A756" t="s">
        <v>645</v>
      </c>
      <c r="B756" t="s">
        <v>377</v>
      </c>
      <c r="C756" s="2" t="s">
        <v>666</v>
      </c>
      <c r="D756" s="1">
        <v>88500</v>
      </c>
      <c r="E756" s="1">
        <v>16</v>
      </c>
      <c r="F756" s="5">
        <v>66</v>
      </c>
      <c r="G756" s="1" t="str">
        <f>IF(OR(ISERROR(SEARCH("recipiente",A756))=FALSE, ISERROR(SEARCH("serbatoio",A756))=FALSE, ISERROR(SEARCH("scambiatore",A756))=FALSE),
    IF(D756*E756&gt;3000,"IV",
        IF(D756*E756&gt;1000,"III",
            IF(D756*E756&gt;200,"II",
                IF(D756*E756&gt;50,"I","")
            )
        )
    ),
    IF(ISERROR(SEARCH("valvola di sicurezza",A756))=FALSE,"IV","")
)</f>
        <v/>
      </c>
      <c r="H756" s="8"/>
      <c r="I756" s="8"/>
    </row>
    <row r="757" spans="1:9" x14ac:dyDescent="0.3">
      <c r="A757" t="s">
        <v>645</v>
      </c>
      <c r="B757" t="s">
        <v>377</v>
      </c>
      <c r="C757" s="2" t="s">
        <v>667</v>
      </c>
      <c r="D757" s="1">
        <v>35400</v>
      </c>
      <c r="E757" s="1">
        <v>16</v>
      </c>
      <c r="F757" s="5"/>
      <c r="G757" s="1" t="str">
        <f>IF(OR(ISERROR(SEARCH("recipiente",A757))=FALSE, ISERROR(SEARCH("serbatoio",A757))=FALSE, ISERROR(SEARCH("scambiatore",A757))=FALSE),
    IF(D757*E757&gt;3000,"IV",
        IF(D757*E757&gt;1000,"III",
            IF(D757*E757&gt;200,"II",
                IF(D757*E757&gt;50,"I","")
            )
        )
    ),
    IF(ISERROR(SEARCH("valvola di sicurezza",A757))=FALSE,"IV","")
)</f>
        <v/>
      </c>
      <c r="H757" s="7"/>
      <c r="I757" s="7"/>
    </row>
    <row r="758" spans="1:9" x14ac:dyDescent="0.3">
      <c r="A758" t="s">
        <v>645</v>
      </c>
      <c r="B758" t="s">
        <v>377</v>
      </c>
      <c r="C758" s="2" t="s">
        <v>668</v>
      </c>
      <c r="D758" s="1">
        <v>35400</v>
      </c>
      <c r="E758" s="1">
        <v>16</v>
      </c>
      <c r="F758" s="5"/>
      <c r="G758" s="1" t="str">
        <f>IF(OR(ISERROR(SEARCH("recipiente",A758))=FALSE, ISERROR(SEARCH("serbatoio",A758))=FALSE, ISERROR(SEARCH("scambiatore",A758))=FALSE),
    IF(D758*E758&gt;3000,"IV",
        IF(D758*E758&gt;1000,"III",
            IF(D758*E758&gt;200,"II",
                IF(D758*E758&gt;50,"I","")
            )
        )
    ),
    IF(ISERROR(SEARCH("valvola di sicurezza",A758))=FALSE,"IV","")
)</f>
        <v/>
      </c>
      <c r="H758" s="7"/>
      <c r="I758" s="7"/>
    </row>
    <row r="759" spans="1:9" x14ac:dyDescent="0.3">
      <c r="A759" t="s">
        <v>645</v>
      </c>
      <c r="B759" t="s">
        <v>377</v>
      </c>
      <c r="C759" s="2" t="s">
        <v>669</v>
      </c>
      <c r="D759" s="1">
        <v>35400</v>
      </c>
      <c r="E759" s="1">
        <v>16</v>
      </c>
      <c r="F759" s="5"/>
      <c r="G759" s="1" t="str">
        <f>IF(OR(ISERROR(SEARCH("recipiente",A759))=FALSE, ISERROR(SEARCH("serbatoio",A759))=FALSE, ISERROR(SEARCH("scambiatore",A759))=FALSE),
    IF(D759*E759&gt;3000,"IV",
        IF(D759*E759&gt;1000,"III",
            IF(D759*E759&gt;200,"II",
                IF(D759*E759&gt;50,"I","")
            )
        )
    ),
    IF(ISERROR(SEARCH("valvola di sicurezza",A759))=FALSE,"IV","")
)</f>
        <v/>
      </c>
      <c r="H759" s="8"/>
      <c r="I759" s="8"/>
    </row>
    <row r="760" spans="1:9" x14ac:dyDescent="0.3">
      <c r="A760" t="s">
        <v>65</v>
      </c>
      <c r="B760" t="s">
        <v>377</v>
      </c>
      <c r="C760" s="2" t="s">
        <v>670</v>
      </c>
      <c r="D760" s="1">
        <v>3000</v>
      </c>
      <c r="E760" s="1">
        <v>11</v>
      </c>
      <c r="F760" s="5"/>
      <c r="G760" s="1" t="str">
        <f>IF(OR(ISERROR(SEARCH("recipiente",A760))=FALSE, ISERROR(SEARCH("serbatoio",A760))=FALSE, ISERROR(SEARCH("scambiatore",A760))=FALSE),
    IF(D760*E760&gt;3000,"IV",
        IF(D760*E760&gt;1000,"III",
            IF(D760*E760&gt;200,"II",
                IF(D760*E760&gt;50,"I","")
            )
        )
    ),
    IF(ISERROR(SEARCH("valvola di sicurezza",A760))=FALSE,"IV","")
)</f>
        <v/>
      </c>
      <c r="H760" s="8"/>
      <c r="I760" s="8"/>
    </row>
    <row r="761" spans="1:9" x14ac:dyDescent="0.3">
      <c r="A761" t="s">
        <v>65</v>
      </c>
      <c r="B761" t="s">
        <v>377</v>
      </c>
      <c r="C761" s="2" t="s">
        <v>671</v>
      </c>
      <c r="D761" s="1">
        <v>3852</v>
      </c>
      <c r="E761" s="1">
        <v>11</v>
      </c>
      <c r="F761" s="5"/>
      <c r="G761" s="1" t="str">
        <f>IF(OR(ISERROR(SEARCH("recipiente",A761))=FALSE, ISERROR(SEARCH("serbatoio",A761))=FALSE, ISERROR(SEARCH("scambiatore",A761))=FALSE),
    IF(D761*E761&gt;3000,"IV",
        IF(D761*E761&gt;1000,"III",
            IF(D761*E761&gt;200,"II",
                IF(D761*E761&gt;50,"I","")
            )
        )
    ),
    IF(ISERROR(SEARCH("valvola di sicurezza",A761))=FALSE,"IV","")
)</f>
        <v/>
      </c>
      <c r="H761" s="7"/>
      <c r="I761" s="7"/>
    </row>
    <row r="762" spans="1:9" x14ac:dyDescent="0.3">
      <c r="A762" t="s">
        <v>65</v>
      </c>
      <c r="B762" t="s">
        <v>377</v>
      </c>
      <c r="C762" s="2" t="s">
        <v>672</v>
      </c>
      <c r="D762" s="1">
        <v>4576</v>
      </c>
      <c r="E762" s="1">
        <v>8</v>
      </c>
      <c r="F762" s="5"/>
      <c r="G762" s="1" t="str">
        <f>IF(OR(ISERROR(SEARCH("recipiente",A762))=FALSE, ISERROR(SEARCH("serbatoio",A762))=FALSE, ISERROR(SEARCH("scambiatore",A762))=FALSE),
    IF(D762*E762&gt;3000,"IV",
        IF(D762*E762&gt;1000,"III",
            IF(D762*E762&gt;200,"II",
                IF(D762*E762&gt;50,"I","")
            )
        )
    ),
    IF(ISERROR(SEARCH("valvola di sicurezza",A762))=FALSE,"IV","")
)</f>
        <v/>
      </c>
      <c r="H762" s="7"/>
      <c r="I762" s="7"/>
    </row>
    <row r="763" spans="1:9" x14ac:dyDescent="0.3">
      <c r="A763" t="s">
        <v>65</v>
      </c>
      <c r="B763" t="s">
        <v>377</v>
      </c>
      <c r="C763" s="2" t="s">
        <v>673</v>
      </c>
      <c r="D763" s="1">
        <v>3373</v>
      </c>
      <c r="E763" s="1">
        <v>15</v>
      </c>
      <c r="F763" s="5"/>
      <c r="G763" s="1" t="str">
        <f>IF(OR(ISERROR(SEARCH("recipiente",A763))=FALSE, ISERROR(SEARCH("serbatoio",A763))=FALSE, ISERROR(SEARCH("scambiatore",A763))=FALSE),
    IF(D763*E763&gt;3000,"IV",
        IF(D763*E763&gt;1000,"III",
            IF(D763*E763&gt;200,"II",
                IF(D763*E763&gt;50,"I","")
            )
        )
    ),
    IF(ISERROR(SEARCH("valvola di sicurezza",A763))=FALSE,"IV","")
)</f>
        <v/>
      </c>
      <c r="H763" s="7"/>
      <c r="I763" s="7"/>
    </row>
    <row r="764" spans="1:9" x14ac:dyDescent="0.3">
      <c r="A764" t="s">
        <v>65</v>
      </c>
      <c r="B764" t="s">
        <v>377</v>
      </c>
      <c r="C764" s="2" t="s">
        <v>674</v>
      </c>
      <c r="D764" s="1">
        <v>3510</v>
      </c>
      <c r="E764" s="1">
        <v>8</v>
      </c>
      <c r="F764" s="5"/>
      <c r="G764" s="1" t="str">
        <f>IF(OR(ISERROR(SEARCH("recipiente",A764))=FALSE, ISERROR(SEARCH("serbatoio",A764))=FALSE, ISERROR(SEARCH("scambiatore",A764))=FALSE),
    IF(D764*E764&gt;3000,"IV",
        IF(D764*E764&gt;1000,"III",
            IF(D764*E764&gt;200,"II",
                IF(D764*E764&gt;50,"I","")
            )
        )
    ),
    IF(ISERROR(SEARCH("valvola di sicurezza",A764))=FALSE,"IV","")
)</f>
        <v/>
      </c>
      <c r="H764" s="7"/>
      <c r="I764" s="7"/>
    </row>
    <row r="765" spans="1:9" x14ac:dyDescent="0.3">
      <c r="A765" t="s">
        <v>65</v>
      </c>
      <c r="B765" t="s">
        <v>377</v>
      </c>
      <c r="C765" s="2" t="s">
        <v>675</v>
      </c>
      <c r="D765" s="1">
        <v>2500</v>
      </c>
      <c r="E765" s="1">
        <v>15</v>
      </c>
      <c r="F765" s="5"/>
      <c r="G765" s="1" t="str">
        <f>IF(OR(ISERROR(SEARCH("recipiente",A765))=FALSE, ISERROR(SEARCH("serbatoio",A765))=FALSE, ISERROR(SEARCH("scambiatore",A765))=FALSE),
    IF(D765*E765&gt;3000,"IV",
        IF(D765*E765&gt;1000,"III",
            IF(D765*E765&gt;200,"II",
                IF(D765*E765&gt;50,"I","")
            )
        )
    ),
    IF(ISERROR(SEARCH("valvola di sicurezza",A765))=FALSE,"IV","")
)</f>
        <v/>
      </c>
    </row>
    <row r="766" spans="1:9" x14ac:dyDescent="0.3">
      <c r="A766" t="s">
        <v>65</v>
      </c>
      <c r="B766" t="s">
        <v>377</v>
      </c>
      <c r="C766" s="2" t="s">
        <v>676</v>
      </c>
      <c r="D766" s="1">
        <v>3000</v>
      </c>
      <c r="E766" s="1">
        <v>11</v>
      </c>
      <c r="F766" s="5"/>
      <c r="G766" s="1" t="str">
        <f>IF(OR(ISERROR(SEARCH("recipiente",A766))=FALSE, ISERROR(SEARCH("serbatoio",A766))=FALSE, ISERROR(SEARCH("scambiatore",A766))=FALSE),
    IF(D766*E766&gt;3000,"IV",
        IF(D766*E766&gt;1000,"III",
            IF(D766*E766&gt;200,"II",
                IF(D766*E766&gt;50,"I","")
            )
        )
    ),
    IF(ISERROR(SEARCH("valvola di sicurezza",A766))=FALSE,"IV","")
)</f>
        <v/>
      </c>
    </row>
    <row r="767" spans="1:9" x14ac:dyDescent="0.3">
      <c r="A767" t="s">
        <v>65</v>
      </c>
      <c r="B767" t="s">
        <v>377</v>
      </c>
      <c r="C767" s="2" t="s">
        <v>677</v>
      </c>
      <c r="D767" s="1">
        <v>3150</v>
      </c>
      <c r="E767" s="1">
        <v>8</v>
      </c>
      <c r="F767" s="5"/>
      <c r="G767" s="1" t="str">
        <f>IF(OR(ISERROR(SEARCH("recipiente",A767))=FALSE, ISERROR(SEARCH("serbatoio",A767))=FALSE, ISERROR(SEARCH("scambiatore",A767))=FALSE),
    IF(D767*E767&gt;3000,"IV",
        IF(D767*E767&gt;1000,"III",
            IF(D767*E767&gt;200,"II",
                IF(D767*E767&gt;50,"I","")
            )
        )
    ),
    IF(ISERROR(SEARCH("valvola di sicurezza",A767))=FALSE,"IV","")
)</f>
        <v/>
      </c>
    </row>
    <row r="768" spans="1:9" x14ac:dyDescent="0.3">
      <c r="A768" t="s">
        <v>65</v>
      </c>
      <c r="B768" t="s">
        <v>377</v>
      </c>
      <c r="C768" s="2" t="s">
        <v>678</v>
      </c>
      <c r="D768" s="1">
        <v>2050</v>
      </c>
      <c r="E768" s="1">
        <v>15</v>
      </c>
      <c r="F768" s="5"/>
      <c r="G768" s="1" t="str">
        <f>IF(OR(ISERROR(SEARCH("recipiente",A768))=FALSE, ISERROR(SEARCH("serbatoio",A768))=FALSE, ISERROR(SEARCH("scambiatore",A768))=FALSE),
    IF(D768*E768&gt;3000,"IV",
        IF(D768*E768&gt;1000,"III",
            IF(D768*E768&gt;200,"II",
                IF(D768*E768&gt;50,"I","")
            )
        )
    ),
    IF(ISERROR(SEARCH("valvola di sicurezza",A768))=FALSE,"IV","")
)</f>
        <v/>
      </c>
    </row>
    <row r="769" spans="1:7" x14ac:dyDescent="0.3">
      <c r="A769" t="s">
        <v>65</v>
      </c>
      <c r="B769" t="s">
        <v>377</v>
      </c>
      <c r="C769" s="2" t="s">
        <v>679</v>
      </c>
      <c r="D769" s="1">
        <v>2660</v>
      </c>
      <c r="E769" s="1">
        <v>11</v>
      </c>
      <c r="F769" s="5"/>
      <c r="G769" s="1" t="str">
        <f>IF(OR(ISERROR(SEARCH("recipiente",A769))=FALSE, ISERROR(SEARCH("serbatoio",A769))=FALSE, ISERROR(SEARCH("scambiatore",A769))=FALSE),
    IF(D769*E769&gt;3000,"IV",
        IF(D769*E769&gt;1000,"III",
            IF(D769*E769&gt;200,"II",
                IF(D769*E769&gt;50,"I","")
            )
        )
    ),
    IF(ISERROR(SEARCH("valvola di sicurezza",A769))=FALSE,"IV","")
)</f>
        <v/>
      </c>
    </row>
    <row r="770" spans="1:7" x14ac:dyDescent="0.3">
      <c r="A770" t="s">
        <v>65</v>
      </c>
      <c r="B770" t="s">
        <v>377</v>
      </c>
      <c r="C770" s="2" t="s">
        <v>680</v>
      </c>
      <c r="D770" s="1">
        <v>2900</v>
      </c>
      <c r="E770" s="1">
        <v>8</v>
      </c>
      <c r="F770" s="5"/>
      <c r="G770" s="1" t="str">
        <f>IF(OR(ISERROR(SEARCH("recipiente",A770))=FALSE, ISERROR(SEARCH("serbatoio",A770))=FALSE, ISERROR(SEARCH("scambiatore",A770))=FALSE),
    IF(D770*E770&gt;3000,"IV",
        IF(D770*E770&gt;1000,"III",
            IF(D770*E770&gt;200,"II",
                IF(D770*E770&gt;50,"I","")
            )
        )
    ),
    IF(ISERROR(SEARCH("valvola di sicurezza",A770))=FALSE,"IV","")
)</f>
        <v/>
      </c>
    </row>
    <row r="771" spans="1:7" x14ac:dyDescent="0.3">
      <c r="A771" t="s">
        <v>65</v>
      </c>
      <c r="B771" t="s">
        <v>377</v>
      </c>
      <c r="C771" s="2" t="s">
        <v>681</v>
      </c>
      <c r="D771" s="1">
        <v>1840</v>
      </c>
      <c r="E771" s="1">
        <v>15</v>
      </c>
      <c r="F771" s="5"/>
      <c r="G771" s="1" t="str">
        <f>IF(OR(ISERROR(SEARCH("recipiente",A771))=FALSE, ISERROR(SEARCH("serbatoio",A771))=FALSE, ISERROR(SEARCH("scambiatore",A771))=FALSE),
    IF(D771*E771&gt;3000,"IV",
        IF(D771*E771&gt;1000,"III",
            IF(D771*E771&gt;200,"II",
                IF(D771*E771&gt;50,"I","")
            )
        )
    ),
    IF(ISERROR(SEARCH("valvola di sicurezza",A771))=FALSE,"IV","")
)</f>
        <v/>
      </c>
    </row>
    <row r="772" spans="1:7" x14ac:dyDescent="0.3">
      <c r="A772" t="s">
        <v>65</v>
      </c>
      <c r="B772" t="s">
        <v>377</v>
      </c>
      <c r="C772" s="2" t="s">
        <v>682</v>
      </c>
      <c r="D772" s="1">
        <v>2380</v>
      </c>
      <c r="E772" s="1">
        <v>11</v>
      </c>
      <c r="F772" s="5"/>
      <c r="G772" s="1" t="str">
        <f>IF(OR(ISERROR(SEARCH("recipiente",A772))=FALSE, ISERROR(SEARCH("serbatoio",A772))=FALSE, ISERROR(SEARCH("scambiatore",A772))=FALSE),
    IF(D772*E772&gt;3000,"IV",
        IF(D772*E772&gt;1000,"III",
            IF(D772*E772&gt;200,"II",
                IF(D772*E772&gt;50,"I","")
            )
        )
    ),
    IF(ISERROR(SEARCH("valvola di sicurezza",A772))=FALSE,"IV","")
)</f>
        <v/>
      </c>
    </row>
    <row r="773" spans="1:7" x14ac:dyDescent="0.3">
      <c r="A773" t="s">
        <v>65</v>
      </c>
      <c r="B773" t="s">
        <v>377</v>
      </c>
      <c r="C773" s="2" t="s">
        <v>683</v>
      </c>
      <c r="D773" s="1">
        <v>3150</v>
      </c>
      <c r="E773" s="1">
        <v>8</v>
      </c>
      <c r="F773" s="5"/>
      <c r="G773" s="1" t="str">
        <f>IF(OR(ISERROR(SEARCH("recipiente",A773))=FALSE, ISERROR(SEARCH("serbatoio",A773))=FALSE, ISERROR(SEARCH("scambiatore",A773))=FALSE),
    IF(D773*E773&gt;3000,"IV",
        IF(D773*E773&gt;1000,"III",
            IF(D773*E773&gt;200,"II",
                IF(D773*E773&gt;50,"I","")
            )
        )
    ),
    IF(ISERROR(SEARCH("valvola di sicurezza",A773))=FALSE,"IV","")
)</f>
        <v/>
      </c>
    </row>
    <row r="774" spans="1:7" x14ac:dyDescent="0.3">
      <c r="A774" t="s">
        <v>65</v>
      </c>
      <c r="B774" t="s">
        <v>377</v>
      </c>
      <c r="C774" s="2" t="s">
        <v>684</v>
      </c>
      <c r="D774" s="1">
        <v>2050</v>
      </c>
      <c r="E774" s="1">
        <v>15</v>
      </c>
      <c r="F774" s="5"/>
      <c r="G774" s="1" t="str">
        <f>IF(OR(ISERROR(SEARCH("recipiente",A774))=FALSE, ISERROR(SEARCH("serbatoio",A774))=FALSE, ISERROR(SEARCH("scambiatore",A774))=FALSE),
    IF(D774*E774&gt;3000,"IV",
        IF(D774*E774&gt;1000,"III",
            IF(D774*E774&gt;200,"II",
                IF(D774*E774&gt;50,"I","")
            )
        )
    ),
    IF(ISERROR(SEARCH("valvola di sicurezza",A774))=FALSE,"IV","")
)</f>
        <v/>
      </c>
    </row>
    <row r="775" spans="1:7" x14ac:dyDescent="0.3">
      <c r="A775" t="s">
        <v>65</v>
      </c>
      <c r="B775" t="s">
        <v>377</v>
      </c>
      <c r="C775" s="2" t="s">
        <v>685</v>
      </c>
      <c r="D775" s="1">
        <v>2660</v>
      </c>
      <c r="E775" s="1">
        <v>11</v>
      </c>
      <c r="F775" s="5"/>
      <c r="G775" s="1" t="str">
        <f>IF(OR(ISERROR(SEARCH("recipiente",A775))=FALSE, ISERROR(SEARCH("serbatoio",A775))=FALSE, ISERROR(SEARCH("scambiatore",A775))=FALSE),
    IF(D775*E775&gt;3000,"IV",
        IF(D775*E775&gt;1000,"III",
            IF(D775*E775&gt;200,"II",
                IF(D775*E775&gt;50,"I","")
            )
        )
    ),
    IF(ISERROR(SEARCH("valvola di sicurezza",A775))=FALSE,"IV","")
)</f>
        <v/>
      </c>
    </row>
    <row r="776" spans="1:7" x14ac:dyDescent="0.3">
      <c r="A776" t="s">
        <v>65</v>
      </c>
      <c r="B776" t="s">
        <v>377</v>
      </c>
      <c r="C776" s="2" t="s">
        <v>686</v>
      </c>
      <c r="D776" s="1">
        <v>2860</v>
      </c>
      <c r="E776" s="1">
        <v>8</v>
      </c>
      <c r="F776" s="5"/>
      <c r="G776" s="1" t="str">
        <f>IF(OR(ISERROR(SEARCH("recipiente",A776))=FALSE, ISERROR(SEARCH("serbatoio",A776))=FALSE, ISERROR(SEARCH("scambiatore",A776))=FALSE),
    IF(D776*E776&gt;3000,"IV",
        IF(D776*E776&gt;1000,"III",
            IF(D776*E776&gt;200,"II",
                IF(D776*E776&gt;50,"I","")
            )
        )
    ),
    IF(ISERROR(SEARCH("valvola di sicurezza",A776))=FALSE,"IV","")
)</f>
        <v/>
      </c>
    </row>
    <row r="777" spans="1:7" x14ac:dyDescent="0.3">
      <c r="A777" t="s">
        <v>65</v>
      </c>
      <c r="B777" t="s">
        <v>377</v>
      </c>
      <c r="C777" s="2" t="s">
        <v>687</v>
      </c>
      <c r="D777" s="1">
        <v>1930</v>
      </c>
      <c r="E777" s="1">
        <v>15</v>
      </c>
      <c r="F777" s="5"/>
      <c r="G777" s="1" t="str">
        <f>IF(OR(ISERROR(SEARCH("recipiente",A777))=FALSE, ISERROR(SEARCH("serbatoio",A777))=FALSE, ISERROR(SEARCH("scambiatore",A777))=FALSE),
    IF(D777*E777&gt;3000,"IV",
        IF(D777*E777&gt;1000,"III",
            IF(D777*E777&gt;200,"II",
                IF(D777*E777&gt;50,"I","")
            )
        )
    ),
    IF(ISERROR(SEARCH("valvola di sicurezza",A777))=FALSE,"IV","")
)</f>
        <v/>
      </c>
    </row>
    <row r="778" spans="1:7" x14ac:dyDescent="0.3">
      <c r="A778" t="s">
        <v>65</v>
      </c>
      <c r="B778" t="s">
        <v>377</v>
      </c>
      <c r="C778" s="2" t="s">
        <v>688</v>
      </c>
      <c r="D778" s="1">
        <v>2400</v>
      </c>
      <c r="E778" s="1">
        <v>11</v>
      </c>
      <c r="F778" s="5"/>
      <c r="G778" s="1" t="str">
        <f>IF(OR(ISERROR(SEARCH("recipiente",A778))=FALSE, ISERROR(SEARCH("serbatoio",A778))=FALSE, ISERROR(SEARCH("scambiatore",A778))=FALSE),
    IF(D778*E778&gt;3000,"IV",
        IF(D778*E778&gt;1000,"III",
            IF(D778*E778&gt;200,"II",
                IF(D778*E778&gt;50,"I","")
            )
        )
    ),
    IF(ISERROR(SEARCH("valvola di sicurezza",A778))=FALSE,"IV","")
)</f>
        <v/>
      </c>
    </row>
    <row r="779" spans="1:7" x14ac:dyDescent="0.3">
      <c r="A779" t="s">
        <v>65</v>
      </c>
      <c r="B779" t="s">
        <v>377</v>
      </c>
      <c r="C779" s="2" t="s">
        <v>689</v>
      </c>
      <c r="D779" s="1">
        <v>2860</v>
      </c>
      <c r="E779" s="1">
        <v>8</v>
      </c>
      <c r="F779" s="5"/>
      <c r="G779" s="1" t="str">
        <f>IF(OR(ISERROR(SEARCH("recipiente",A779))=FALSE, ISERROR(SEARCH("serbatoio",A779))=FALSE, ISERROR(SEARCH("scambiatore",A779))=FALSE),
    IF(D779*E779&gt;3000,"IV",
        IF(D779*E779&gt;1000,"III",
            IF(D779*E779&gt;200,"II",
                IF(D779*E779&gt;50,"I","")
            )
        )
    ),
    IF(ISERROR(SEARCH("valvola di sicurezza",A779))=FALSE,"IV","")
)</f>
        <v/>
      </c>
    </row>
    <row r="780" spans="1:7" x14ac:dyDescent="0.3">
      <c r="A780" t="s">
        <v>65</v>
      </c>
      <c r="B780" t="s">
        <v>377</v>
      </c>
      <c r="C780" s="2" t="s">
        <v>690</v>
      </c>
      <c r="D780" s="1">
        <v>1930</v>
      </c>
      <c r="E780" s="1">
        <v>15</v>
      </c>
      <c r="F780" s="5"/>
      <c r="G780" s="1" t="str">
        <f>IF(OR(ISERROR(SEARCH("recipiente",A780))=FALSE, ISERROR(SEARCH("serbatoio",A780))=FALSE, ISERROR(SEARCH("scambiatore",A780))=FALSE),
    IF(D780*E780&gt;3000,"IV",
        IF(D780*E780&gt;1000,"III",
            IF(D780*E780&gt;200,"II",
                IF(D780*E780&gt;50,"I","")
            )
        )
    ),
    IF(ISERROR(SEARCH("valvola di sicurezza",A780))=FALSE,"IV","")
)</f>
        <v/>
      </c>
    </row>
    <row r="781" spans="1:7" x14ac:dyDescent="0.3">
      <c r="A781" t="s">
        <v>65</v>
      </c>
      <c r="B781" t="s">
        <v>377</v>
      </c>
      <c r="C781" s="2" t="s">
        <v>691</v>
      </c>
      <c r="D781" s="1">
        <v>2400</v>
      </c>
      <c r="E781" s="1">
        <v>11</v>
      </c>
      <c r="F781" s="5"/>
      <c r="G781" s="1" t="str">
        <f>IF(OR(ISERROR(SEARCH("recipiente",A781))=FALSE, ISERROR(SEARCH("serbatoio",A781))=FALSE, ISERROR(SEARCH("scambiatore",A781))=FALSE),
    IF(D781*E781&gt;3000,"IV",
        IF(D781*E781&gt;1000,"III",
            IF(D781*E781&gt;200,"II",
                IF(D781*E781&gt;50,"I","")
            )
        )
    ),
    IF(ISERROR(SEARCH("valvola di sicurezza",A781))=FALSE,"IV","")
)</f>
        <v/>
      </c>
    </row>
    <row r="782" spans="1:7" x14ac:dyDescent="0.3">
      <c r="A782" t="s">
        <v>65</v>
      </c>
      <c r="B782" t="s">
        <v>377</v>
      </c>
      <c r="C782" s="2" t="s">
        <v>692</v>
      </c>
      <c r="D782" s="1">
        <v>2600</v>
      </c>
      <c r="E782" s="1">
        <v>8</v>
      </c>
      <c r="F782" s="5"/>
      <c r="G782" s="1" t="str">
        <f>IF(OR(ISERROR(SEARCH("recipiente",A782))=FALSE, ISERROR(SEARCH("serbatoio",A782))=FALSE, ISERROR(SEARCH("scambiatore",A782))=FALSE),
    IF(D782*E782&gt;3000,"IV",
        IF(D782*E782&gt;1000,"III",
            IF(D782*E782&gt;200,"II",
                IF(D782*E782&gt;50,"I","")
            )
        )
    ),
    IF(ISERROR(SEARCH("valvola di sicurezza",A782))=FALSE,"IV","")
)</f>
        <v/>
      </c>
    </row>
    <row r="783" spans="1:7" x14ac:dyDescent="0.3">
      <c r="A783" t="s">
        <v>65</v>
      </c>
      <c r="B783" t="s">
        <v>377</v>
      </c>
      <c r="C783" s="2" t="s">
        <v>693</v>
      </c>
      <c r="D783" s="1">
        <v>1700</v>
      </c>
      <c r="E783" s="1">
        <v>15</v>
      </c>
      <c r="F783" s="5"/>
      <c r="G783" s="1" t="str">
        <f>IF(OR(ISERROR(SEARCH("recipiente",A783))=FALSE, ISERROR(SEARCH("serbatoio",A783))=FALSE, ISERROR(SEARCH("scambiatore",A783))=FALSE),
    IF(D783*E783&gt;3000,"IV",
        IF(D783*E783&gt;1000,"III",
            IF(D783*E783&gt;200,"II",
                IF(D783*E783&gt;50,"I","")
            )
        )
    ),
    IF(ISERROR(SEARCH("valvola di sicurezza",A783))=FALSE,"IV","")
)</f>
        <v/>
      </c>
    </row>
    <row r="784" spans="1:7" x14ac:dyDescent="0.3">
      <c r="A784" t="s">
        <v>65</v>
      </c>
      <c r="B784" t="s">
        <v>377</v>
      </c>
      <c r="C784" s="2" t="s">
        <v>694</v>
      </c>
      <c r="D784" s="1">
        <v>2180</v>
      </c>
      <c r="E784" s="1">
        <v>11</v>
      </c>
      <c r="F784" s="5"/>
      <c r="G784" s="1" t="str">
        <f>IF(OR(ISERROR(SEARCH("recipiente",A784))=FALSE, ISERROR(SEARCH("serbatoio",A784))=FALSE, ISERROR(SEARCH("scambiatore",A784))=FALSE),
    IF(D784*E784&gt;3000,"IV",
        IF(D784*E784&gt;1000,"III",
            IF(D784*E784&gt;200,"II",
                IF(D784*E784&gt;50,"I","")
            )
        )
    ),
    IF(ISERROR(SEARCH("valvola di sicurezza",A784))=FALSE,"IV","")
)</f>
        <v/>
      </c>
    </row>
    <row r="785" spans="1:7" x14ac:dyDescent="0.3">
      <c r="A785" t="s">
        <v>65</v>
      </c>
      <c r="B785" t="s">
        <v>377</v>
      </c>
      <c r="C785" s="2" t="s">
        <v>695</v>
      </c>
      <c r="D785" s="1">
        <v>2600</v>
      </c>
      <c r="E785" s="1">
        <v>8</v>
      </c>
      <c r="F785" s="5"/>
      <c r="G785" s="1" t="str">
        <f>IF(OR(ISERROR(SEARCH("recipiente",A785))=FALSE, ISERROR(SEARCH("serbatoio",A785))=FALSE, ISERROR(SEARCH("scambiatore",A785))=FALSE),
    IF(D785*E785&gt;3000,"IV",
        IF(D785*E785&gt;1000,"III",
            IF(D785*E785&gt;200,"II",
                IF(D785*E785&gt;50,"I","")
            )
        )
    ),
    IF(ISERROR(SEARCH("valvola di sicurezza",A785))=FALSE,"IV","")
)</f>
        <v/>
      </c>
    </row>
    <row r="786" spans="1:7" x14ac:dyDescent="0.3">
      <c r="A786" t="s">
        <v>65</v>
      </c>
      <c r="B786" t="s">
        <v>377</v>
      </c>
      <c r="C786" s="2" t="s">
        <v>696</v>
      </c>
      <c r="D786" s="1">
        <v>1700</v>
      </c>
      <c r="E786" s="1">
        <v>15</v>
      </c>
      <c r="F786" s="5"/>
      <c r="G786" s="1" t="str">
        <f>IF(OR(ISERROR(SEARCH("recipiente",A786))=FALSE, ISERROR(SEARCH("serbatoio",A786))=FALSE, ISERROR(SEARCH("scambiatore",A786))=FALSE),
    IF(D786*E786&gt;3000,"IV",
        IF(D786*E786&gt;1000,"III",
            IF(D786*E786&gt;200,"II",
                IF(D786*E786&gt;50,"I","")
            )
        )
    ),
    IF(ISERROR(SEARCH("valvola di sicurezza",A786))=FALSE,"IV","")
)</f>
        <v/>
      </c>
    </row>
    <row r="787" spans="1:7" x14ac:dyDescent="0.3">
      <c r="A787" t="s">
        <v>65</v>
      </c>
      <c r="B787" t="s">
        <v>377</v>
      </c>
      <c r="C787" s="2" t="s">
        <v>697</v>
      </c>
      <c r="D787" s="1">
        <v>2180</v>
      </c>
      <c r="E787" s="1">
        <v>11</v>
      </c>
      <c r="F787" s="5"/>
      <c r="G787" s="1" t="str">
        <f>IF(OR(ISERROR(SEARCH("recipiente",A787))=FALSE, ISERROR(SEARCH("serbatoio",A787))=FALSE, ISERROR(SEARCH("scambiatore",A787))=FALSE),
    IF(D787*E787&gt;3000,"IV",
        IF(D787*E787&gt;1000,"III",
            IF(D787*E787&gt;200,"II",
                IF(D787*E787&gt;50,"I","")
            )
        )
    ),
    IF(ISERROR(SEARCH("valvola di sicurezza",A787))=FALSE,"IV","")
)</f>
        <v/>
      </c>
    </row>
    <row r="788" spans="1:7" x14ac:dyDescent="0.3">
      <c r="A788" t="s">
        <v>65</v>
      </c>
      <c r="B788" t="s">
        <v>377</v>
      </c>
      <c r="C788" s="2" t="s">
        <v>698</v>
      </c>
      <c r="D788" s="1">
        <v>6170</v>
      </c>
      <c r="E788" s="1">
        <v>8.5</v>
      </c>
      <c r="F788" s="5"/>
      <c r="G788" s="1" t="str">
        <f>IF(OR(ISERROR(SEARCH("recipiente",A788))=FALSE, ISERROR(SEARCH("serbatoio",A788))=FALSE, ISERROR(SEARCH("scambiatore",A788))=FALSE),
    IF(D788*E788&gt;3000,"IV",
        IF(D788*E788&gt;1000,"III",
            IF(D788*E788&gt;200,"II",
                IF(D788*E788&gt;50,"I","")
            )
        )
    ),
    IF(ISERROR(SEARCH("valvola di sicurezza",A788))=FALSE,"IV","")
)</f>
        <v/>
      </c>
    </row>
    <row r="789" spans="1:7" x14ac:dyDescent="0.3">
      <c r="A789" t="s">
        <v>65</v>
      </c>
      <c r="B789" t="s">
        <v>377</v>
      </c>
      <c r="C789" s="2" t="s">
        <v>699</v>
      </c>
      <c r="D789" s="1">
        <v>4140</v>
      </c>
      <c r="E789" s="1">
        <v>15</v>
      </c>
      <c r="F789" s="5"/>
      <c r="G789" s="1" t="str">
        <f>IF(OR(ISERROR(SEARCH("recipiente",A789))=FALSE, ISERROR(SEARCH("serbatoio",A789))=FALSE, ISERROR(SEARCH("scambiatore",A789))=FALSE),
    IF(D789*E789&gt;3000,"IV",
        IF(D789*E789&gt;1000,"III",
            IF(D789*E789&gt;200,"II",
                IF(D789*E789&gt;50,"I","")
            )
        )
    ),
    IF(ISERROR(SEARCH("valvola di sicurezza",A789))=FALSE,"IV","")
)</f>
        <v/>
      </c>
    </row>
    <row r="790" spans="1:7" x14ac:dyDescent="0.3">
      <c r="A790" t="s">
        <v>65</v>
      </c>
      <c r="B790" t="s">
        <v>377</v>
      </c>
      <c r="C790" s="2" t="s">
        <v>700</v>
      </c>
      <c r="D790" s="1">
        <v>4760</v>
      </c>
      <c r="E790" s="1">
        <v>15</v>
      </c>
      <c r="F790" s="5"/>
      <c r="G790" s="1" t="str">
        <f>IF(OR(ISERROR(SEARCH("recipiente",A790))=FALSE, ISERROR(SEARCH("serbatoio",A790))=FALSE, ISERROR(SEARCH("scambiatore",A790))=FALSE),
    IF(D790*E790&gt;3000,"IV",
        IF(D790*E790&gt;1000,"III",
            IF(D790*E790&gt;200,"II",
                IF(D790*E790&gt;50,"I","")
            )
        )
    ),
    IF(ISERROR(SEARCH("valvola di sicurezza",A790))=FALSE,"IV","")
)</f>
        <v/>
      </c>
    </row>
    <row r="791" spans="1:7" x14ac:dyDescent="0.3">
      <c r="A791" t="s">
        <v>65</v>
      </c>
      <c r="B791" t="s">
        <v>377</v>
      </c>
      <c r="C791" s="2" t="s">
        <v>701</v>
      </c>
      <c r="D791" s="1">
        <v>5530</v>
      </c>
      <c r="E791" s="1">
        <v>8.5</v>
      </c>
      <c r="F791" s="5"/>
      <c r="G791" s="1" t="str">
        <f>IF(OR(ISERROR(SEARCH("recipiente",A791))=FALSE, ISERROR(SEARCH("serbatoio",A791))=FALSE, ISERROR(SEARCH("scambiatore",A791))=FALSE),
    IF(D791*E791&gt;3000,"IV",
        IF(D791*E791&gt;1000,"III",
            IF(D791*E791&gt;200,"II",
                IF(D791*E791&gt;50,"I","")
            )
        )
    ),
    IF(ISERROR(SEARCH("valvola di sicurezza",A791))=FALSE,"IV","")
)</f>
        <v/>
      </c>
    </row>
    <row r="792" spans="1:7" x14ac:dyDescent="0.3">
      <c r="A792" t="s">
        <v>65</v>
      </c>
      <c r="B792" t="s">
        <v>377</v>
      </c>
      <c r="C792" s="2" t="s">
        <v>702</v>
      </c>
      <c r="D792" s="1">
        <v>3710</v>
      </c>
      <c r="E792" s="1">
        <v>15</v>
      </c>
      <c r="F792" s="5"/>
      <c r="G792" s="1" t="str">
        <f>IF(OR(ISERROR(SEARCH("recipiente",A792))=FALSE, ISERROR(SEARCH("serbatoio",A792))=FALSE, ISERROR(SEARCH("scambiatore",A792))=FALSE),
    IF(D792*E792&gt;3000,"IV",
        IF(D792*E792&gt;1000,"III",
            IF(D792*E792&gt;200,"II",
                IF(D792*E792&gt;50,"I","")
            )
        )
    ),
    IF(ISERROR(SEARCH("valvola di sicurezza",A792))=FALSE,"IV","")
)</f>
        <v/>
      </c>
    </row>
    <row r="793" spans="1:7" x14ac:dyDescent="0.3">
      <c r="A793" t="s">
        <v>65</v>
      </c>
      <c r="B793" t="s">
        <v>377</v>
      </c>
      <c r="C793" s="2" t="s">
        <v>703</v>
      </c>
      <c r="D793" s="1">
        <v>4490</v>
      </c>
      <c r="E793" s="1">
        <v>12</v>
      </c>
      <c r="F793" s="5"/>
      <c r="G793" s="1" t="str">
        <f>IF(OR(ISERROR(SEARCH("recipiente",A793))=FALSE, ISERROR(SEARCH("serbatoio",A793))=FALSE, ISERROR(SEARCH("scambiatore",A793))=FALSE),
    IF(D793*E793&gt;3000,"IV",
        IF(D793*E793&gt;1000,"III",
            IF(D793*E793&gt;200,"II",
                IF(D793*E793&gt;50,"I","")
            )
        )
    ),
    IF(ISERROR(SEARCH("valvola di sicurezza",A793))=FALSE,"IV","")
)</f>
        <v/>
      </c>
    </row>
    <row r="794" spans="1:7" x14ac:dyDescent="0.3">
      <c r="A794" t="s">
        <v>65</v>
      </c>
      <c r="B794" t="s">
        <v>377</v>
      </c>
      <c r="C794" s="2" t="s">
        <v>704</v>
      </c>
      <c r="D794" s="1">
        <v>6170</v>
      </c>
      <c r="E794" s="1">
        <v>8.5</v>
      </c>
      <c r="F794" s="5"/>
      <c r="G794" s="1" t="str">
        <f>IF(OR(ISERROR(SEARCH("recipiente",A794))=FALSE, ISERROR(SEARCH("serbatoio",A794))=FALSE, ISERROR(SEARCH("scambiatore",A794))=FALSE),
    IF(D794*E794&gt;3000,"IV",
        IF(D794*E794&gt;1000,"III",
            IF(D794*E794&gt;200,"II",
                IF(D794*E794&gt;50,"I","")
            )
        )
    ),
    IF(ISERROR(SEARCH("valvola di sicurezza",A794))=FALSE,"IV","")
)</f>
        <v/>
      </c>
    </row>
    <row r="795" spans="1:7" x14ac:dyDescent="0.3">
      <c r="A795" t="s">
        <v>65</v>
      </c>
      <c r="B795" t="s">
        <v>377</v>
      </c>
      <c r="C795" s="2" t="s">
        <v>705</v>
      </c>
      <c r="D795" s="1">
        <v>4140</v>
      </c>
      <c r="E795" s="1">
        <v>15</v>
      </c>
      <c r="F795" s="5"/>
      <c r="G795" s="1" t="str">
        <f>IF(OR(ISERROR(SEARCH("recipiente",A795))=FALSE, ISERROR(SEARCH("serbatoio",A795))=FALSE, ISERROR(SEARCH("scambiatore",A795))=FALSE),
    IF(D795*E795&gt;3000,"IV",
        IF(D795*E795&gt;1000,"III",
            IF(D795*E795&gt;200,"II",
                IF(D795*E795&gt;50,"I","")
            )
        )
    ),
    IF(ISERROR(SEARCH("valvola di sicurezza",A795))=FALSE,"IV","")
)</f>
        <v/>
      </c>
    </row>
    <row r="796" spans="1:7" x14ac:dyDescent="0.3">
      <c r="A796" t="s">
        <v>65</v>
      </c>
      <c r="B796" t="s">
        <v>377</v>
      </c>
      <c r="C796" s="2" t="s">
        <v>706</v>
      </c>
      <c r="D796" s="1">
        <v>4760</v>
      </c>
      <c r="E796" s="1">
        <v>12</v>
      </c>
      <c r="F796" s="5"/>
      <c r="G796" s="1" t="str">
        <f>IF(OR(ISERROR(SEARCH("recipiente",A796))=FALSE, ISERROR(SEARCH("serbatoio",A796))=FALSE, ISERROR(SEARCH("scambiatore",A796))=FALSE),
    IF(D796*E796&gt;3000,"IV",
        IF(D796*E796&gt;1000,"III",
            IF(D796*E796&gt;200,"II",
                IF(D796*E796&gt;50,"I","")
            )
        )
    ),
    IF(ISERROR(SEARCH("valvola di sicurezza",A796))=FALSE,"IV","")
)</f>
        <v/>
      </c>
    </row>
    <row r="797" spans="1:7" x14ac:dyDescent="0.3">
      <c r="A797" t="s">
        <v>65</v>
      </c>
      <c r="B797" t="s">
        <v>377</v>
      </c>
      <c r="C797" s="2" t="s">
        <v>707</v>
      </c>
      <c r="D797" s="1">
        <v>4530</v>
      </c>
      <c r="E797" s="1">
        <v>12</v>
      </c>
      <c r="F797" s="5"/>
      <c r="G797" s="1" t="str">
        <f>IF(OR(ISERROR(SEARCH("recipiente",A797))=FALSE, ISERROR(SEARCH("serbatoio",A797))=FALSE, ISERROR(SEARCH("scambiatore",A797))=FALSE),
    IF(D797*E797&gt;3000,"IV",
        IF(D797*E797&gt;1000,"III",
            IF(D797*E797&gt;200,"II",
                IF(D797*E797&gt;50,"I","")
            )
        )
    ),
    IF(ISERROR(SEARCH("valvola di sicurezza",A797))=FALSE,"IV","")
)</f>
        <v/>
      </c>
    </row>
    <row r="798" spans="1:7" x14ac:dyDescent="0.3">
      <c r="A798" t="s">
        <v>65</v>
      </c>
      <c r="B798" t="s">
        <v>377</v>
      </c>
      <c r="C798" s="2" t="s">
        <v>708</v>
      </c>
      <c r="D798" s="1">
        <v>5600</v>
      </c>
      <c r="E798" s="1">
        <v>8.5</v>
      </c>
      <c r="F798" s="5"/>
      <c r="G798" s="1" t="str">
        <f>IF(OR(ISERROR(SEARCH("recipiente",A798))=FALSE, ISERROR(SEARCH("serbatoio",A798))=FALSE, ISERROR(SEARCH("scambiatore",A798))=FALSE),
    IF(D798*E798&gt;3000,"IV",
        IF(D798*E798&gt;1000,"III",
            IF(D798*E798&gt;200,"II",
                IF(D798*E798&gt;50,"I","")
            )
        )
    ),
    IF(ISERROR(SEARCH("valvola di sicurezza",A798))=FALSE,"IV","")
)</f>
        <v/>
      </c>
    </row>
    <row r="799" spans="1:7" x14ac:dyDescent="0.3">
      <c r="A799" t="s">
        <v>65</v>
      </c>
      <c r="B799" t="s">
        <v>377</v>
      </c>
      <c r="C799" s="2" t="s">
        <v>709</v>
      </c>
      <c r="D799" s="1">
        <v>3750</v>
      </c>
      <c r="E799" s="1">
        <v>15</v>
      </c>
      <c r="F799" s="5"/>
      <c r="G799" s="1" t="str">
        <f>IF(OR(ISERROR(SEARCH("recipiente",A799))=FALSE, ISERROR(SEARCH("serbatoio",A799))=FALSE, ISERROR(SEARCH("scambiatore",A799))=FALSE),
    IF(D799*E799&gt;3000,"IV",
        IF(D799*E799&gt;1000,"III",
            IF(D799*E799&gt;200,"II",
                IF(D799*E799&gt;50,"I","")
            )
        )
    ),
    IF(ISERROR(SEARCH("valvola di sicurezza",A799))=FALSE,"IV","")
)</f>
        <v/>
      </c>
    </row>
    <row r="800" spans="1:7" x14ac:dyDescent="0.3">
      <c r="A800" t="s">
        <v>65</v>
      </c>
      <c r="B800" t="s">
        <v>377</v>
      </c>
      <c r="C800" s="2" t="s">
        <v>710</v>
      </c>
      <c r="D800" s="1">
        <v>4440</v>
      </c>
      <c r="E800" s="1">
        <v>11</v>
      </c>
      <c r="F800" s="5"/>
      <c r="G800" s="1" t="str">
        <f>IF(OR(ISERROR(SEARCH("recipiente",A800))=FALSE, ISERROR(SEARCH("serbatoio",A800))=FALSE, ISERROR(SEARCH("scambiatore",A800))=FALSE),
    IF(D800*E800&gt;3000,"IV",
        IF(D800*E800&gt;1000,"III",
            IF(D800*E800&gt;200,"II",
                IF(D800*E800&gt;50,"I","")
            )
        )
    ),
    IF(ISERROR(SEARCH("valvola di sicurezza",A800))=FALSE,"IV","")
)</f>
        <v/>
      </c>
    </row>
    <row r="801" spans="1:7" x14ac:dyDescent="0.3">
      <c r="A801" t="s">
        <v>65</v>
      </c>
      <c r="B801" t="s">
        <v>377</v>
      </c>
      <c r="C801" s="2" t="s">
        <v>711</v>
      </c>
      <c r="D801" s="1">
        <v>5510</v>
      </c>
      <c r="E801" s="1">
        <v>8</v>
      </c>
      <c r="F801" s="5"/>
      <c r="G801" s="1" t="str">
        <f>IF(OR(ISERROR(SEARCH("recipiente",A801))=FALSE, ISERROR(SEARCH("serbatoio",A801))=FALSE, ISERROR(SEARCH("scambiatore",A801))=FALSE),
    IF(D801*E801&gt;3000,"IV",
        IF(D801*E801&gt;1000,"III",
            IF(D801*E801&gt;200,"II",
                IF(D801*E801&gt;50,"I","")
            )
        )
    ),
    IF(ISERROR(SEARCH("valvola di sicurezza",A801))=FALSE,"IV","")
)</f>
        <v/>
      </c>
    </row>
    <row r="802" spans="1:7" x14ac:dyDescent="0.3">
      <c r="A802" t="s">
        <v>65</v>
      </c>
      <c r="B802" t="s">
        <v>377</v>
      </c>
      <c r="C802" s="2" t="s">
        <v>712</v>
      </c>
      <c r="D802" s="1">
        <v>3670</v>
      </c>
      <c r="E802" s="1">
        <v>15</v>
      </c>
      <c r="F802" s="5"/>
      <c r="G802" s="1" t="str">
        <f>IF(OR(ISERROR(SEARCH("recipiente",A802))=FALSE, ISERROR(SEARCH("serbatoio",A802))=FALSE, ISERROR(SEARCH("scambiatore",A802))=FALSE),
    IF(D802*E802&gt;3000,"IV",
        IF(D802*E802&gt;1000,"III",
            IF(D802*E802&gt;200,"II",
                IF(D802*E802&gt;50,"I","")
            )
        )
    ),
    IF(ISERROR(SEARCH("valvola di sicurezza",A802))=FALSE,"IV","")
)</f>
        <v/>
      </c>
    </row>
    <row r="803" spans="1:7" x14ac:dyDescent="0.3">
      <c r="A803" t="s">
        <v>65</v>
      </c>
      <c r="B803" t="s">
        <v>377</v>
      </c>
      <c r="C803" s="2" t="s">
        <v>713</v>
      </c>
      <c r="D803" s="1">
        <v>5270</v>
      </c>
      <c r="E803" s="1">
        <v>8.5</v>
      </c>
      <c r="F803" s="5"/>
      <c r="G803" s="1" t="str">
        <f>IF(OR(ISERROR(SEARCH("recipiente",A803))=FALSE, ISERROR(SEARCH("serbatoio",A803))=FALSE, ISERROR(SEARCH("scambiatore",A803))=FALSE),
    IF(D803*E803&gt;3000,"IV",
        IF(D803*E803&gt;1000,"III",
            IF(D803*E803&gt;200,"II",
                IF(D803*E803&gt;50,"I","")
            )
        )
    ),
    IF(ISERROR(SEARCH("valvola di sicurezza",A803))=FALSE,"IV","")
)</f>
        <v/>
      </c>
    </row>
    <row r="804" spans="1:7" x14ac:dyDescent="0.3">
      <c r="A804" t="s">
        <v>65</v>
      </c>
      <c r="B804" t="s">
        <v>377</v>
      </c>
      <c r="C804" s="2" t="s">
        <v>714</v>
      </c>
      <c r="D804" s="1">
        <v>3820</v>
      </c>
      <c r="E804" s="1">
        <v>15</v>
      </c>
      <c r="F804" s="5"/>
      <c r="G804" s="1" t="str">
        <f>IF(OR(ISERROR(SEARCH("recipiente",A804))=FALSE, ISERROR(SEARCH("serbatoio",A804))=FALSE, ISERROR(SEARCH("scambiatore",A804))=FALSE),
    IF(D804*E804&gt;3000,"IV",
        IF(D804*E804&gt;1000,"III",
            IF(D804*E804&gt;200,"II",
                IF(D804*E804&gt;50,"I","")
            )
        )
    ),
    IF(ISERROR(SEARCH("valvola di sicurezza",A804))=FALSE,"IV","")
)</f>
        <v/>
      </c>
    </row>
    <row r="805" spans="1:7" x14ac:dyDescent="0.3">
      <c r="A805" t="s">
        <v>65</v>
      </c>
      <c r="B805" t="s">
        <v>377</v>
      </c>
      <c r="C805" s="2" t="s">
        <v>715</v>
      </c>
      <c r="D805" s="1">
        <v>4580</v>
      </c>
      <c r="E805" s="1">
        <v>13</v>
      </c>
      <c r="F805" s="5"/>
      <c r="G805" s="1" t="str">
        <f>IF(OR(ISERROR(SEARCH("recipiente",A805))=FALSE, ISERROR(SEARCH("serbatoio",A805))=FALSE, ISERROR(SEARCH("scambiatore",A805))=FALSE),
    IF(D805*E805&gt;3000,"IV",
        IF(D805*E805&gt;1000,"III",
            IF(D805*E805&gt;200,"II",
                IF(D805*E805&gt;50,"I","")
            )
        )
    ),
    IF(ISERROR(SEARCH("valvola di sicurezza",A805))=FALSE,"IV","")
)</f>
        <v/>
      </c>
    </row>
    <row r="806" spans="1:7" x14ac:dyDescent="0.3">
      <c r="A806" t="s">
        <v>65</v>
      </c>
      <c r="B806" t="s">
        <v>377</v>
      </c>
      <c r="C806" s="2" t="s">
        <v>716</v>
      </c>
      <c r="D806" s="1">
        <v>4580</v>
      </c>
      <c r="E806" s="1">
        <v>8.5</v>
      </c>
      <c r="F806" s="5"/>
      <c r="G806" s="1" t="str">
        <f>IF(OR(ISERROR(SEARCH("recipiente",A806))=FALSE, ISERROR(SEARCH("serbatoio",A806))=FALSE, ISERROR(SEARCH("scambiatore",A806))=FALSE),
    IF(D806*E806&gt;3000,"IV",
        IF(D806*E806&gt;1000,"III",
            IF(D806*E806&gt;200,"II",
                IF(D806*E806&gt;50,"I","")
            )
        )
    ),
    IF(ISERROR(SEARCH("valvola di sicurezza",A806))=FALSE,"IV","")
)</f>
        <v/>
      </c>
    </row>
    <row r="807" spans="1:7" x14ac:dyDescent="0.3">
      <c r="A807" t="s">
        <v>65</v>
      </c>
      <c r="B807" t="s">
        <v>377</v>
      </c>
      <c r="C807" s="2" t="s">
        <v>717</v>
      </c>
      <c r="D807" s="1">
        <v>3050</v>
      </c>
      <c r="E807" s="1">
        <v>15</v>
      </c>
      <c r="F807" s="5"/>
      <c r="G807" s="1" t="str">
        <f>IF(OR(ISERROR(SEARCH("recipiente",A807))=FALSE, ISERROR(SEARCH("serbatoio",A807))=FALSE, ISERROR(SEARCH("scambiatore",A807))=FALSE),
    IF(D807*E807&gt;3000,"IV",
        IF(D807*E807&gt;1000,"III",
            IF(D807*E807&gt;200,"II",
                IF(D807*E807&gt;50,"I","")
            )
        )
    ),
    IF(ISERROR(SEARCH("valvola di sicurezza",A807))=FALSE,"IV","")
)</f>
        <v/>
      </c>
    </row>
    <row r="808" spans="1:7" x14ac:dyDescent="0.3">
      <c r="A808" t="s">
        <v>65</v>
      </c>
      <c r="B808" t="s">
        <v>377</v>
      </c>
      <c r="C808" s="2" t="s">
        <v>718</v>
      </c>
      <c r="D808" s="1">
        <v>3850</v>
      </c>
      <c r="E808" s="1">
        <v>12</v>
      </c>
      <c r="F808" s="5"/>
      <c r="G808" s="1" t="str">
        <f>IF(OR(ISERROR(SEARCH("recipiente",A808))=FALSE, ISERROR(SEARCH("serbatoio",A808))=FALSE, ISERROR(SEARCH("scambiatore",A808))=FALSE),
    IF(D808*E808&gt;3000,"IV",
        IF(D808*E808&gt;1000,"III",
            IF(D808*E808&gt;200,"II",
                IF(D808*E808&gt;50,"I","")
            )
        )
    ),
    IF(ISERROR(SEARCH("valvola di sicurezza",A808))=FALSE,"IV","")
)</f>
        <v/>
      </c>
    </row>
    <row r="809" spans="1:7" x14ac:dyDescent="0.3">
      <c r="A809" t="s">
        <v>65</v>
      </c>
      <c r="B809" t="s">
        <v>377</v>
      </c>
      <c r="C809" s="2" t="s">
        <v>719</v>
      </c>
      <c r="D809" s="1">
        <v>5270</v>
      </c>
      <c r="E809" s="1">
        <v>8.5</v>
      </c>
      <c r="F809" s="5"/>
      <c r="G809" s="1" t="str">
        <f>IF(OR(ISERROR(SEARCH("recipiente",A809))=FALSE, ISERROR(SEARCH("serbatoio",A809))=FALSE, ISERROR(SEARCH("scambiatore",A809))=FALSE),
    IF(D809*E809&gt;3000,"IV",
        IF(D809*E809&gt;1000,"III",
            IF(D809*E809&gt;200,"II",
                IF(D809*E809&gt;50,"I","")
            )
        )
    ),
    IF(ISERROR(SEARCH("valvola di sicurezza",A809))=FALSE,"IV","")
)</f>
        <v/>
      </c>
    </row>
    <row r="810" spans="1:7" x14ac:dyDescent="0.3">
      <c r="A810" t="s">
        <v>65</v>
      </c>
      <c r="B810" t="s">
        <v>377</v>
      </c>
      <c r="C810" s="2" t="s">
        <v>720</v>
      </c>
      <c r="D810" s="1">
        <v>3820</v>
      </c>
      <c r="E810" s="1">
        <v>15</v>
      </c>
      <c r="F810" s="5"/>
      <c r="G810" s="1" t="str">
        <f>IF(OR(ISERROR(SEARCH("recipiente",A810))=FALSE, ISERROR(SEARCH("serbatoio",A810))=FALSE, ISERROR(SEARCH("scambiatore",A810))=FALSE),
    IF(D810*E810&gt;3000,"IV",
        IF(D810*E810&gt;1000,"III",
            IF(D810*E810&gt;200,"II",
                IF(D810*E810&gt;50,"I","")
            )
        )
    ),
    IF(ISERROR(SEARCH("valvola di sicurezza",A810))=FALSE,"IV","")
)</f>
        <v/>
      </c>
    </row>
    <row r="811" spans="1:7" x14ac:dyDescent="0.3">
      <c r="A811" t="s">
        <v>65</v>
      </c>
      <c r="B811" t="s">
        <v>377</v>
      </c>
      <c r="C811" s="2" t="s">
        <v>721</v>
      </c>
      <c r="D811" s="1">
        <v>4580</v>
      </c>
      <c r="E811" s="1">
        <v>13</v>
      </c>
      <c r="F811" s="5"/>
      <c r="G811" s="1" t="str">
        <f>IF(OR(ISERROR(SEARCH("recipiente",A811))=FALSE, ISERROR(SEARCH("serbatoio",A811))=FALSE, ISERROR(SEARCH("scambiatore",A811))=FALSE),
    IF(D811*E811&gt;3000,"IV",
        IF(D811*E811&gt;1000,"III",
            IF(D811*E811&gt;200,"II",
                IF(D811*E811&gt;50,"I","")
            )
        )
    ),
    IF(ISERROR(SEARCH("valvola di sicurezza",A811))=FALSE,"IV","")
)</f>
        <v/>
      </c>
    </row>
    <row r="812" spans="1:7" x14ac:dyDescent="0.3">
      <c r="A812" t="s">
        <v>65</v>
      </c>
      <c r="B812" t="s">
        <v>377</v>
      </c>
      <c r="C812" s="2" t="s">
        <v>722</v>
      </c>
      <c r="D812" s="1">
        <v>4580</v>
      </c>
      <c r="E812" s="1">
        <v>8.5</v>
      </c>
      <c r="F812" s="5"/>
      <c r="G812" s="1" t="str">
        <f>IF(OR(ISERROR(SEARCH("recipiente",A812))=FALSE, ISERROR(SEARCH("serbatoio",A812))=FALSE, ISERROR(SEARCH("scambiatore",A812))=FALSE),
    IF(D812*E812&gt;3000,"IV",
        IF(D812*E812&gt;1000,"III",
            IF(D812*E812&gt;200,"II",
                IF(D812*E812&gt;50,"I","")
            )
        )
    ),
    IF(ISERROR(SEARCH("valvola di sicurezza",A812))=FALSE,"IV","")
)</f>
        <v/>
      </c>
    </row>
    <row r="813" spans="1:7" x14ac:dyDescent="0.3">
      <c r="A813" t="s">
        <v>65</v>
      </c>
      <c r="B813" t="s">
        <v>377</v>
      </c>
      <c r="C813" s="2" t="s">
        <v>723</v>
      </c>
      <c r="D813" s="1">
        <v>3050</v>
      </c>
      <c r="E813" s="1">
        <v>15</v>
      </c>
      <c r="F813" s="5"/>
      <c r="G813" s="1" t="str">
        <f>IF(OR(ISERROR(SEARCH("recipiente",A813))=FALSE, ISERROR(SEARCH("serbatoio",A813))=FALSE, ISERROR(SEARCH("scambiatore",A813))=FALSE),
    IF(D813*E813&gt;3000,"IV",
        IF(D813*E813&gt;1000,"III",
            IF(D813*E813&gt;200,"II",
                IF(D813*E813&gt;50,"I","")
            )
        )
    ),
    IF(ISERROR(SEARCH("valvola di sicurezza",A813))=FALSE,"IV","")
)</f>
        <v/>
      </c>
    </row>
    <row r="814" spans="1:7" x14ac:dyDescent="0.3">
      <c r="A814" t="s">
        <v>65</v>
      </c>
      <c r="B814" t="s">
        <v>377</v>
      </c>
      <c r="C814" s="2" t="s">
        <v>724</v>
      </c>
      <c r="D814" s="1">
        <v>3850</v>
      </c>
      <c r="E814" s="1">
        <v>12</v>
      </c>
      <c r="F814" s="5"/>
      <c r="G814" s="1" t="str">
        <f>IF(OR(ISERROR(SEARCH("recipiente",A814))=FALSE, ISERROR(SEARCH("serbatoio",A814))=FALSE, ISERROR(SEARCH("scambiatore",A814))=FALSE),
    IF(D814*E814&gt;3000,"IV",
        IF(D814*E814&gt;1000,"III",
            IF(D814*E814&gt;200,"II",
                IF(D814*E814&gt;50,"I","")
            )
        )
    ),
    IF(ISERROR(SEARCH("valvola di sicurezza",A814))=FALSE,"IV","")
)</f>
        <v/>
      </c>
    </row>
    <row r="815" spans="1:7" x14ac:dyDescent="0.3">
      <c r="A815" t="s">
        <v>65</v>
      </c>
      <c r="B815" t="s">
        <v>377</v>
      </c>
      <c r="C815" s="2" t="s">
        <v>725</v>
      </c>
      <c r="D815" s="1">
        <v>4920</v>
      </c>
      <c r="E815" s="1">
        <v>8</v>
      </c>
      <c r="F815" s="5"/>
      <c r="G815" s="1" t="str">
        <f>IF(OR(ISERROR(SEARCH("recipiente",A815))=FALSE, ISERROR(SEARCH("serbatoio",A815))=FALSE, ISERROR(SEARCH("scambiatore",A815))=FALSE),
    IF(D815*E815&gt;3000,"IV",
        IF(D815*E815&gt;1000,"III",
            IF(D815*E815&gt;200,"II",
                IF(D815*E815&gt;50,"I","")
            )
        )
    ),
    IF(ISERROR(SEARCH("valvola di sicurezza",A815))=FALSE,"IV","")
)</f>
        <v/>
      </c>
    </row>
    <row r="816" spans="1:7" x14ac:dyDescent="0.3">
      <c r="A816" t="s">
        <v>65</v>
      </c>
      <c r="B816" t="s">
        <v>377</v>
      </c>
      <c r="C816" s="2" t="s">
        <v>726</v>
      </c>
      <c r="D816" s="1">
        <v>3600</v>
      </c>
      <c r="E816" s="1">
        <v>15</v>
      </c>
      <c r="F816" s="5"/>
      <c r="G816" s="1" t="str">
        <f>IF(OR(ISERROR(SEARCH("recipiente",A816))=FALSE, ISERROR(SEARCH("serbatoio",A816))=FALSE, ISERROR(SEARCH("scambiatore",A816))=FALSE),
    IF(D816*E816&gt;3000,"IV",
        IF(D816*E816&gt;1000,"III",
            IF(D816*E816&gt;200,"II",
                IF(D816*E816&gt;50,"I","")
            )
        )
    ),
    IF(ISERROR(SEARCH("valvola di sicurezza",A816))=FALSE,"IV","")
)</f>
        <v/>
      </c>
    </row>
    <row r="817" spans="1:7" x14ac:dyDescent="0.3">
      <c r="A817" t="s">
        <v>65</v>
      </c>
      <c r="B817" t="s">
        <v>377</v>
      </c>
      <c r="C817" s="2" t="s">
        <v>727</v>
      </c>
      <c r="D817" s="1">
        <v>4120</v>
      </c>
      <c r="E817" s="1">
        <v>11</v>
      </c>
      <c r="F817" s="5"/>
      <c r="G817" s="1" t="str">
        <f>IF(OR(ISERROR(SEARCH("recipiente",A817))=FALSE, ISERROR(SEARCH("serbatoio",A817))=FALSE, ISERROR(SEARCH("scambiatore",A817))=FALSE),
    IF(D817*E817&gt;3000,"IV",
        IF(D817*E817&gt;1000,"III",
            IF(D817*E817&gt;200,"II",
                IF(D817*E817&gt;50,"I","")
            )
        )
    ),
    IF(ISERROR(SEARCH("valvola di sicurezza",A817))=FALSE,"IV","")
)</f>
        <v/>
      </c>
    </row>
    <row r="818" spans="1:7" x14ac:dyDescent="0.3">
      <c r="A818" t="s">
        <v>65</v>
      </c>
      <c r="B818" t="s">
        <v>377</v>
      </c>
      <c r="C818" s="2" t="s">
        <v>728</v>
      </c>
      <c r="D818" s="1">
        <v>3840</v>
      </c>
      <c r="E818" s="1">
        <v>11</v>
      </c>
      <c r="F818" s="5"/>
      <c r="G818" s="1" t="str">
        <f>IF(OR(ISERROR(SEARCH("recipiente",A818))=FALSE, ISERROR(SEARCH("serbatoio",A818))=FALSE, ISERROR(SEARCH("scambiatore",A818))=FALSE),
    IF(D818*E818&gt;3000,"IV",
        IF(D818*E818&gt;1000,"III",
            IF(D818*E818&gt;200,"II",
                IF(D818*E818&gt;50,"I","")
            )
        )
    ),
    IF(ISERROR(SEARCH("valvola di sicurezza",A818))=FALSE,"IV","")
)</f>
        <v/>
      </c>
    </row>
    <row r="819" spans="1:7" x14ac:dyDescent="0.3">
      <c r="A819" t="s">
        <v>65</v>
      </c>
      <c r="B819" t="s">
        <v>377</v>
      </c>
      <c r="C819" s="2" t="s">
        <v>729</v>
      </c>
      <c r="D819" s="1">
        <v>4600</v>
      </c>
      <c r="E819" s="1">
        <v>8</v>
      </c>
      <c r="F819" s="5"/>
      <c r="G819" s="1" t="str">
        <f>IF(OR(ISERROR(SEARCH("recipiente",A819))=FALSE, ISERROR(SEARCH("serbatoio",A819))=FALSE, ISERROR(SEARCH("scambiatore",A819))=FALSE),
    IF(D819*E819&gt;3000,"IV",
        IF(D819*E819&gt;1000,"III",
            IF(D819*E819&gt;200,"II",
                IF(D819*E819&gt;50,"I","")
            )
        )
    ),
    IF(ISERROR(SEARCH("valvola di sicurezza",A819))=FALSE,"IV","")
)</f>
        <v/>
      </c>
    </row>
    <row r="820" spans="1:7" x14ac:dyDescent="0.3">
      <c r="A820" t="s">
        <v>65</v>
      </c>
      <c r="B820" t="s">
        <v>377</v>
      </c>
      <c r="C820" s="2" t="s">
        <v>730</v>
      </c>
      <c r="D820" s="1">
        <v>2990</v>
      </c>
      <c r="E820" s="1">
        <v>15</v>
      </c>
      <c r="F820" s="5"/>
      <c r="G820" s="1" t="str">
        <f>IF(OR(ISERROR(SEARCH("recipiente",A820))=FALSE, ISERROR(SEARCH("serbatoio",A820))=FALSE, ISERROR(SEARCH("scambiatore",A820))=FALSE),
    IF(D820*E820&gt;3000,"IV",
        IF(D820*E820&gt;1000,"III",
            IF(D820*E820&gt;200,"II",
                IF(D820*E820&gt;50,"I","")
            )
        )
    ),
    IF(ISERROR(SEARCH("valvola di sicurezza",A820))=FALSE,"IV","")
)</f>
        <v/>
      </c>
    </row>
    <row r="821" spans="1:7" x14ac:dyDescent="0.3">
      <c r="A821" t="s">
        <v>65</v>
      </c>
      <c r="B821" t="s">
        <v>377</v>
      </c>
      <c r="C821" s="2" t="s">
        <v>731</v>
      </c>
      <c r="D821" s="1">
        <v>4640</v>
      </c>
      <c r="E821" s="1">
        <v>8.5</v>
      </c>
      <c r="F821" s="5"/>
      <c r="G821" s="1" t="str">
        <f>IF(OR(ISERROR(SEARCH("recipiente",A821))=FALSE, ISERROR(SEARCH("serbatoio",A821))=FALSE, ISERROR(SEARCH("scambiatore",A821))=FALSE),
    IF(D821*E821&gt;3000,"IV",
        IF(D821*E821&gt;1000,"III",
            IF(D821*E821&gt;200,"II",
                IF(D821*E821&gt;50,"I","")
            )
        )
    ),
    IF(ISERROR(SEARCH("valvola di sicurezza",A821))=FALSE,"IV","")
)</f>
        <v/>
      </c>
    </row>
    <row r="822" spans="1:7" x14ac:dyDescent="0.3">
      <c r="A822" t="s">
        <v>65</v>
      </c>
      <c r="B822" t="s">
        <v>377</v>
      </c>
      <c r="C822" s="2" t="s">
        <v>732</v>
      </c>
      <c r="D822" s="1">
        <v>3920</v>
      </c>
      <c r="E822" s="1">
        <v>8.5</v>
      </c>
      <c r="F822" s="5"/>
      <c r="G822" s="1" t="str">
        <f>IF(OR(ISERROR(SEARCH("recipiente",A822))=FALSE, ISERROR(SEARCH("serbatoio",A822))=FALSE, ISERROR(SEARCH("scambiatore",A822))=FALSE),
    IF(D822*E822&gt;3000,"IV",
        IF(D822*E822&gt;1000,"III",
            IF(D822*E822&gt;200,"II",
                IF(D822*E822&gt;50,"I","")
            )
        )
    ),
    IF(ISERROR(SEARCH("valvola di sicurezza",A822))=FALSE,"IV","")
)</f>
        <v/>
      </c>
    </row>
    <row r="823" spans="1:7" x14ac:dyDescent="0.3">
      <c r="A823" t="s">
        <v>65</v>
      </c>
      <c r="B823" t="s">
        <v>377</v>
      </c>
      <c r="C823" s="2" t="s">
        <v>733</v>
      </c>
      <c r="D823" s="1">
        <v>2580</v>
      </c>
      <c r="E823" s="1">
        <v>15</v>
      </c>
      <c r="F823" s="5"/>
      <c r="G823" s="1" t="str">
        <f>IF(OR(ISERROR(SEARCH("recipiente",A823))=FALSE, ISERROR(SEARCH("serbatoio",A823))=FALSE, ISERROR(SEARCH("scambiatore",A823))=FALSE),
    IF(D823*E823&gt;3000,"IV",
        IF(D823*E823&gt;1000,"III",
            IF(D823*E823&gt;200,"II",
                IF(D823*E823&gt;50,"I","")
            )
        )
    ),
    IF(ISERROR(SEARCH("valvola di sicurezza",A823))=FALSE,"IV","")
)</f>
        <v/>
      </c>
    </row>
    <row r="824" spans="1:7" x14ac:dyDescent="0.3">
      <c r="A824" t="s">
        <v>65</v>
      </c>
      <c r="B824" t="s">
        <v>377</v>
      </c>
      <c r="C824" s="2" t="s">
        <v>734</v>
      </c>
      <c r="D824" s="1">
        <v>3130</v>
      </c>
      <c r="E824" s="1">
        <v>12</v>
      </c>
      <c r="F824" s="5"/>
      <c r="G824" s="1" t="str">
        <f>IF(OR(ISERROR(SEARCH("recipiente",A824))=FALSE, ISERROR(SEARCH("serbatoio",A824))=FALSE, ISERROR(SEARCH("scambiatore",A824))=FALSE),
    IF(D824*E824&gt;3000,"IV",
        IF(D824*E824&gt;1000,"III",
            IF(D824*E824&gt;200,"II",
                IF(D824*E824&gt;50,"I","")
            )
        )
    ),
    IF(ISERROR(SEARCH("valvola di sicurezza",A824))=FALSE,"IV","")
)</f>
        <v/>
      </c>
    </row>
    <row r="825" spans="1:7" x14ac:dyDescent="0.3">
      <c r="A825" t="s">
        <v>65</v>
      </c>
      <c r="B825" t="s">
        <v>377</v>
      </c>
      <c r="C825" s="2" t="s">
        <v>735</v>
      </c>
      <c r="D825" s="1">
        <v>4640</v>
      </c>
      <c r="E825" s="1">
        <v>8.5</v>
      </c>
      <c r="F825" s="5"/>
      <c r="G825" s="1" t="str">
        <f>IF(OR(ISERROR(SEARCH("recipiente",A825))=FALSE, ISERROR(SEARCH("serbatoio",A825))=FALSE, ISERROR(SEARCH("scambiatore",A825))=FALSE),
    IF(D825*E825&gt;3000,"IV",
        IF(D825*E825&gt;1000,"III",
            IF(D825*E825&gt;200,"II",
                IF(D825*E825&gt;50,"I","")
            )
        )
    ),
    IF(ISERROR(SEARCH("valvola di sicurezza",A825))=FALSE,"IV","")
)</f>
        <v/>
      </c>
    </row>
    <row r="826" spans="1:7" x14ac:dyDescent="0.3">
      <c r="A826" t="s">
        <v>65</v>
      </c>
      <c r="B826" t="s">
        <v>377</v>
      </c>
      <c r="C826" s="2" t="s">
        <v>736</v>
      </c>
      <c r="D826" s="1">
        <v>3920</v>
      </c>
      <c r="E826" s="1">
        <v>8.5</v>
      </c>
      <c r="F826" s="5"/>
      <c r="G826" s="1" t="str">
        <f>IF(OR(ISERROR(SEARCH("recipiente",A826))=FALSE, ISERROR(SEARCH("serbatoio",A826))=FALSE, ISERROR(SEARCH("scambiatore",A826))=FALSE),
    IF(D826*E826&gt;3000,"IV",
        IF(D826*E826&gt;1000,"III",
            IF(D826*E826&gt;200,"II",
                IF(D826*E826&gt;50,"I","")
            )
        )
    ),
    IF(ISERROR(SEARCH("valvola di sicurezza",A826))=FALSE,"IV","")
)</f>
        <v/>
      </c>
    </row>
    <row r="827" spans="1:7" x14ac:dyDescent="0.3">
      <c r="A827" t="s">
        <v>65</v>
      </c>
      <c r="B827" t="s">
        <v>377</v>
      </c>
      <c r="C827" s="2" t="s">
        <v>737</v>
      </c>
      <c r="D827" s="1">
        <v>2580</v>
      </c>
      <c r="E827" s="1">
        <v>15</v>
      </c>
      <c r="F827" s="5"/>
      <c r="G827" s="1" t="str">
        <f>IF(OR(ISERROR(SEARCH("recipiente",A827))=FALSE, ISERROR(SEARCH("serbatoio",A827))=FALSE, ISERROR(SEARCH("scambiatore",A827))=FALSE),
    IF(D827*E827&gt;3000,"IV",
        IF(D827*E827&gt;1000,"III",
            IF(D827*E827&gt;200,"II",
                IF(D827*E827&gt;50,"I","")
            )
        )
    ),
    IF(ISERROR(SEARCH("valvola di sicurezza",A827))=FALSE,"IV","")
)</f>
        <v/>
      </c>
    </row>
    <row r="828" spans="1:7" x14ac:dyDescent="0.3">
      <c r="A828" t="s">
        <v>65</v>
      </c>
      <c r="B828" t="s">
        <v>377</v>
      </c>
      <c r="C828" s="2" t="s">
        <v>738</v>
      </c>
      <c r="D828" s="1">
        <v>3130</v>
      </c>
      <c r="E828" s="1">
        <v>12</v>
      </c>
      <c r="F828" s="5"/>
      <c r="G828" s="1" t="str">
        <f>IF(OR(ISERROR(SEARCH("recipiente",A828))=FALSE, ISERROR(SEARCH("serbatoio",A828))=FALSE, ISERROR(SEARCH("scambiatore",A828))=FALSE),
    IF(D828*E828&gt;3000,"IV",
        IF(D828*E828&gt;1000,"III",
            IF(D828*E828&gt;200,"II",
                IF(D828*E828&gt;50,"I","")
            )
        )
    ),
    IF(ISERROR(SEARCH("valvola di sicurezza",A828))=FALSE,"IV","")
)</f>
        <v/>
      </c>
    </row>
    <row r="829" spans="1:7" x14ac:dyDescent="0.3">
      <c r="A829" t="s">
        <v>65</v>
      </c>
      <c r="B829" t="s">
        <v>377</v>
      </c>
      <c r="C829" s="2" t="s">
        <v>739</v>
      </c>
      <c r="D829" s="1">
        <v>4050</v>
      </c>
      <c r="E829" s="1">
        <v>8.5</v>
      </c>
      <c r="F829" s="5"/>
      <c r="G829" s="1" t="str">
        <f>IF(OR(ISERROR(SEARCH("recipiente",A829))=FALSE, ISERROR(SEARCH("serbatoio",A829))=FALSE, ISERROR(SEARCH("scambiatore",A829))=FALSE),
    IF(D829*E829&gt;3000,"IV",
        IF(D829*E829&gt;1000,"III",
            IF(D829*E829&gt;200,"II",
                IF(D829*E829&gt;50,"I","")
            )
        )
    ),
    IF(ISERROR(SEARCH("valvola di sicurezza",A829))=FALSE,"IV","")
)</f>
        <v/>
      </c>
    </row>
    <row r="830" spans="1:7" x14ac:dyDescent="0.3">
      <c r="A830" t="s">
        <v>65</v>
      </c>
      <c r="B830" t="s">
        <v>377</v>
      </c>
      <c r="C830" s="2" t="s">
        <v>740</v>
      </c>
      <c r="D830" s="1">
        <v>3170</v>
      </c>
      <c r="E830" s="1">
        <v>15</v>
      </c>
      <c r="F830" s="5"/>
      <c r="G830" s="1" t="str">
        <f>IF(OR(ISERROR(SEARCH("recipiente",A830))=FALSE, ISERROR(SEARCH("serbatoio",A830))=FALSE, ISERROR(SEARCH("scambiatore",A830))=FALSE),
    IF(D830*E830&gt;3000,"IV",
        IF(D830*E830&gt;1000,"III",
            IF(D830*E830&gt;200,"II",
                IF(D830*E830&gt;50,"I","")
            )
        )
    ),
    IF(ISERROR(SEARCH("valvola di sicurezza",A830))=FALSE,"IV","")
)</f>
        <v/>
      </c>
    </row>
    <row r="831" spans="1:7" x14ac:dyDescent="0.3">
      <c r="A831" t="s">
        <v>65</v>
      </c>
      <c r="B831" t="s">
        <v>377</v>
      </c>
      <c r="C831" s="2" t="s">
        <v>741</v>
      </c>
      <c r="D831" s="1">
        <v>3550</v>
      </c>
      <c r="E831" s="1">
        <v>15</v>
      </c>
      <c r="F831" s="5"/>
      <c r="G831" s="1" t="str">
        <f>IF(OR(ISERROR(SEARCH("recipiente",A831))=FALSE, ISERROR(SEARCH("serbatoio",A831))=FALSE, ISERROR(SEARCH("scambiatore",A831))=FALSE),
    IF(D831*E831&gt;3000,"IV",
        IF(D831*E831&gt;1000,"III",
            IF(D831*E831&gt;200,"II",
                IF(D831*E831&gt;50,"I","")
            )
        )
    ),
    IF(ISERROR(SEARCH("valvola di sicurezza",A831))=FALSE,"IV","")
)</f>
        <v/>
      </c>
    </row>
    <row r="832" spans="1:7" x14ac:dyDescent="0.3">
      <c r="A832" t="s">
        <v>65</v>
      </c>
      <c r="B832" t="s">
        <v>377</v>
      </c>
      <c r="C832" s="2" t="s">
        <v>742</v>
      </c>
      <c r="D832" s="1">
        <v>3140</v>
      </c>
      <c r="E832" s="1">
        <v>11</v>
      </c>
      <c r="F832" s="5"/>
      <c r="G832" s="1" t="str">
        <f>IF(OR(ISERROR(SEARCH("recipiente",A832))=FALSE, ISERROR(SEARCH("serbatoio",A832))=FALSE, ISERROR(SEARCH("scambiatore",A832))=FALSE),
    IF(D832*E832&gt;3000,"IV",
        IF(D832*E832&gt;1000,"III",
            IF(D832*E832&gt;200,"II",
                IF(D832*E832&gt;50,"I","")
            )
        )
    ),
    IF(ISERROR(SEARCH("valvola di sicurezza",A832))=FALSE,"IV","")
)</f>
        <v/>
      </c>
    </row>
    <row r="833" spans="1:7" x14ac:dyDescent="0.3">
      <c r="A833" t="s">
        <v>65</v>
      </c>
      <c r="B833" t="s">
        <v>377</v>
      </c>
      <c r="C833" s="2" t="s">
        <v>743</v>
      </c>
      <c r="D833" s="1">
        <v>3910</v>
      </c>
      <c r="E833" s="1">
        <v>8.5</v>
      </c>
      <c r="F833" s="5"/>
      <c r="G833" s="1" t="str">
        <f>IF(OR(ISERROR(SEARCH("recipiente",A833))=FALSE, ISERROR(SEARCH("serbatoio",A833))=FALSE, ISERROR(SEARCH("scambiatore",A833))=FALSE),
    IF(D833*E833&gt;3000,"IV",
        IF(D833*E833&gt;1000,"III",
            IF(D833*E833&gt;200,"II",
                IF(D833*E833&gt;50,"I","")
            )
        )
    ),
    IF(ISERROR(SEARCH("valvola di sicurezza",A833))=FALSE,"IV","")
)</f>
        <v/>
      </c>
    </row>
    <row r="834" spans="1:7" x14ac:dyDescent="0.3">
      <c r="A834" t="s">
        <v>65</v>
      </c>
      <c r="B834" t="s">
        <v>377</v>
      </c>
      <c r="C834" s="2" t="s">
        <v>744</v>
      </c>
      <c r="D834" s="1">
        <v>2600</v>
      </c>
      <c r="E834" s="1">
        <v>11</v>
      </c>
      <c r="F834" s="5"/>
      <c r="G834" s="1" t="str">
        <f>IF(OR(ISERROR(SEARCH("recipiente",A834))=FALSE, ISERROR(SEARCH("serbatoio",A834))=FALSE, ISERROR(SEARCH("scambiatore",A834))=FALSE),
    IF(D834*E834&gt;3000,"IV",
        IF(D834*E834&gt;1000,"III",
            IF(D834*E834&gt;200,"II",
                IF(D834*E834&gt;50,"I","")
            )
        )
    ),
    IF(ISERROR(SEARCH("valvola di sicurezza",A834))=FALSE,"IV","")
)</f>
        <v/>
      </c>
    </row>
    <row r="835" spans="1:7" x14ac:dyDescent="0.3">
      <c r="A835" t="s">
        <v>65</v>
      </c>
      <c r="B835" t="s">
        <v>377</v>
      </c>
      <c r="C835" s="2" t="s">
        <v>745</v>
      </c>
      <c r="D835" s="1">
        <v>3160</v>
      </c>
      <c r="E835" s="1">
        <v>8.5</v>
      </c>
      <c r="F835" s="5"/>
      <c r="G835" s="1" t="str">
        <f>IF(OR(ISERROR(SEARCH("recipiente",A835))=FALSE, ISERROR(SEARCH("serbatoio",A835))=FALSE, ISERROR(SEARCH("scambiatore",A835))=FALSE),
    IF(D835*E835&gt;3000,"IV",
        IF(D835*E835&gt;1000,"III",
            IF(D835*E835&gt;200,"II",
                IF(D835*E835&gt;50,"I","")
            )
        )
    ),
    IF(ISERROR(SEARCH("valvola di sicurezza",A835))=FALSE,"IV","")
)</f>
        <v/>
      </c>
    </row>
    <row r="836" spans="1:7" x14ac:dyDescent="0.3">
      <c r="A836" t="s">
        <v>65</v>
      </c>
      <c r="B836" t="s">
        <v>377</v>
      </c>
      <c r="C836" s="2" t="s">
        <v>746</v>
      </c>
      <c r="D836" s="1">
        <v>2630</v>
      </c>
      <c r="E836" s="1">
        <v>12</v>
      </c>
      <c r="F836" s="5"/>
      <c r="G836" s="1" t="str">
        <f>IF(OR(ISERROR(SEARCH("recipiente",A836))=FALSE, ISERROR(SEARCH("serbatoio",A836))=FALSE, ISERROR(SEARCH("scambiatore",A836))=FALSE),
    IF(D836*E836&gt;3000,"IV",
        IF(D836*E836&gt;1000,"III",
            IF(D836*E836&gt;200,"II",
                IF(D836*E836&gt;50,"I","")
            )
        )
    ),
    IF(ISERROR(SEARCH("valvola di sicurezza",A836))=FALSE,"IV","")
)</f>
        <v/>
      </c>
    </row>
    <row r="837" spans="1:7" x14ac:dyDescent="0.3">
      <c r="A837" t="s">
        <v>65</v>
      </c>
      <c r="B837" t="s">
        <v>377</v>
      </c>
      <c r="C837" s="2" t="s">
        <v>747</v>
      </c>
      <c r="D837" s="1">
        <v>3160</v>
      </c>
      <c r="E837" s="1">
        <v>8.5</v>
      </c>
      <c r="F837" s="3"/>
      <c r="G837" s="1" t="str">
        <f>IF(OR(ISERROR(SEARCH("recipiente",A837))=FALSE, ISERROR(SEARCH("serbatoio",A837))=FALSE, ISERROR(SEARCH("scambiatore",A837))=FALSE),
    IF(D837*E837&gt;3000,"IV",
        IF(D837*E837&gt;1000,"III",
            IF(D837*E837&gt;200,"II",
                IF(D837*E837&gt;50,"I","")
            )
        )
    ),
    IF(ISERROR(SEARCH("valvola di sicurezza",A837))=FALSE,"IV","")
)</f>
        <v/>
      </c>
    </row>
    <row r="838" spans="1:7" x14ac:dyDescent="0.3">
      <c r="A838" t="s">
        <v>65</v>
      </c>
      <c r="B838" t="s">
        <v>377</v>
      </c>
      <c r="C838" s="2" t="s">
        <v>748</v>
      </c>
      <c r="D838" s="1">
        <v>2630</v>
      </c>
      <c r="E838" s="1">
        <v>12</v>
      </c>
      <c r="F838" s="5"/>
      <c r="G838" s="1" t="str">
        <f>IF(OR(ISERROR(SEARCH("recipiente",A838))=FALSE, ISERROR(SEARCH("serbatoio",A838))=FALSE, ISERROR(SEARCH("scambiatore",A838))=FALSE),
    IF(D838*E838&gt;3000,"IV",
        IF(D838*E838&gt;1000,"III",
            IF(D838*E838&gt;200,"II",
                IF(D838*E838&gt;50,"I","")
            )
        )
    ),
    IF(ISERROR(SEARCH("valvola di sicurezza",A838))=FALSE,"IV","")
)</f>
        <v/>
      </c>
    </row>
    <row r="839" spans="1:7" x14ac:dyDescent="0.3">
      <c r="A839" t="s">
        <v>65</v>
      </c>
      <c r="B839" t="s">
        <v>377</v>
      </c>
      <c r="C839" s="2" t="s">
        <v>749</v>
      </c>
      <c r="D839" s="1">
        <v>2720</v>
      </c>
      <c r="E839" s="1">
        <v>11</v>
      </c>
      <c r="F839" s="5"/>
      <c r="G839" s="1" t="str">
        <f>IF(OR(ISERROR(SEARCH("recipiente",A839))=FALSE, ISERROR(SEARCH("serbatoio",A839))=FALSE, ISERROR(SEARCH("scambiatore",A839))=FALSE),
    IF(D839*E839&gt;3000,"IV",
        IF(D839*E839&gt;1000,"III",
            IF(D839*E839&gt;200,"II",
                IF(D839*E839&gt;50,"I","")
            )
        )
    ),
    IF(ISERROR(SEARCH("valvola di sicurezza",A839))=FALSE,"IV","")
)</f>
        <v/>
      </c>
    </row>
    <row r="840" spans="1:7" x14ac:dyDescent="0.3">
      <c r="A840" t="s">
        <v>65</v>
      </c>
      <c r="B840" t="s">
        <v>377</v>
      </c>
      <c r="C840" s="2" t="s">
        <v>750</v>
      </c>
      <c r="D840" s="1">
        <v>2090</v>
      </c>
      <c r="E840" s="1">
        <v>15</v>
      </c>
      <c r="F840" s="5"/>
      <c r="G840" s="1" t="str">
        <f>IF(OR(ISERROR(SEARCH("recipiente",A840))=FALSE, ISERROR(SEARCH("serbatoio",A840))=FALSE, ISERROR(SEARCH("scambiatore",A840))=FALSE),
    IF(D840*E840&gt;3000,"IV",
        IF(D840*E840&gt;1000,"III",
            IF(D840*E840&gt;200,"II",
                IF(D840*E840&gt;50,"I","")
            )
        )
    ),
    IF(ISERROR(SEARCH("valvola di sicurezza",A840))=FALSE,"IV","")
)</f>
        <v/>
      </c>
    </row>
    <row r="841" spans="1:7" x14ac:dyDescent="0.3">
      <c r="A841" t="s">
        <v>65</v>
      </c>
      <c r="B841" t="s">
        <v>377</v>
      </c>
      <c r="C841" s="2" t="s">
        <v>751</v>
      </c>
      <c r="D841" s="1">
        <v>3160</v>
      </c>
      <c r="E841" s="1">
        <v>8</v>
      </c>
      <c r="F841" s="5"/>
      <c r="G841" s="1" t="str">
        <f>IF(OR(ISERROR(SEARCH("recipiente",A841))=FALSE, ISERROR(SEARCH("serbatoio",A841))=FALSE, ISERROR(SEARCH("scambiatore",A841))=FALSE),
    IF(D841*E841&gt;3000,"IV",
        IF(D841*E841&gt;1000,"III",
            IF(D841*E841&gt;200,"II",
                IF(D841*E841&gt;50,"I","")
            )
        )
    ),
    IF(ISERROR(SEARCH("valvola di sicurezza",A841))=FALSE,"IV","")
)</f>
        <v/>
      </c>
    </row>
    <row r="842" spans="1:7" x14ac:dyDescent="0.3">
      <c r="A842" t="s">
        <v>65</v>
      </c>
      <c r="B842" t="s">
        <v>377</v>
      </c>
      <c r="C842" s="2" t="s">
        <v>752</v>
      </c>
      <c r="D842" s="1">
        <v>3244</v>
      </c>
      <c r="E842" s="1">
        <v>10</v>
      </c>
      <c r="F842" s="5"/>
      <c r="G842" s="1" t="str">
        <f>IF(OR(ISERROR(SEARCH("recipiente",A842))=FALSE, ISERROR(SEARCH("serbatoio",A842))=FALSE, ISERROR(SEARCH("scambiatore",A842))=FALSE),
    IF(D842*E842&gt;3000,"IV",
        IF(D842*E842&gt;1000,"III",
            IF(D842*E842&gt;200,"II",
                IF(D842*E842&gt;50,"I","")
            )
        )
    ),
    IF(ISERROR(SEARCH("valvola di sicurezza",A842))=FALSE,"IV","")
)</f>
        <v/>
      </c>
    </row>
    <row r="843" spans="1:7" x14ac:dyDescent="0.3">
      <c r="A843" t="s">
        <v>65</v>
      </c>
      <c r="B843" t="s">
        <v>377</v>
      </c>
      <c r="C843" s="2" t="s">
        <v>753</v>
      </c>
      <c r="D843" s="1">
        <v>3678</v>
      </c>
      <c r="E843" s="1">
        <v>8.5</v>
      </c>
      <c r="F843" s="5"/>
      <c r="G843" s="1" t="str">
        <f>IF(OR(ISERROR(SEARCH("recipiente",A843))=FALSE, ISERROR(SEARCH("serbatoio",A843))=FALSE, ISERROR(SEARCH("scambiatore",A843))=FALSE),
    IF(D843*E843&gt;3000,"IV",
        IF(D843*E843&gt;1000,"III",
            IF(D843*E843&gt;200,"II",
                IF(D843*E843&gt;50,"I","")
            )
        )
    ),
    IF(ISERROR(SEARCH("valvola di sicurezza",A843))=FALSE,"IV","")
)</f>
        <v/>
      </c>
    </row>
    <row r="844" spans="1:7" x14ac:dyDescent="0.3">
      <c r="A844" t="s">
        <v>65</v>
      </c>
      <c r="B844" t="s">
        <v>377</v>
      </c>
      <c r="C844" s="2" t="s">
        <v>754</v>
      </c>
      <c r="D844" s="1">
        <v>2760</v>
      </c>
      <c r="E844" s="1">
        <v>10</v>
      </c>
      <c r="F844" s="5"/>
      <c r="G844" s="1" t="str">
        <f>IF(OR(ISERROR(SEARCH("recipiente",A844))=FALSE, ISERROR(SEARCH("serbatoio",A844))=FALSE, ISERROR(SEARCH("scambiatore",A844))=FALSE),
    IF(D844*E844&gt;3000,"IV",
        IF(D844*E844&gt;1000,"III",
            IF(D844*E844&gt;200,"II",
                IF(D844*E844&gt;50,"I","")
            )
        )
    ),
    IF(ISERROR(SEARCH("valvola di sicurezza",A844))=FALSE,"IV","")
)</f>
        <v/>
      </c>
    </row>
    <row r="845" spans="1:7" x14ac:dyDescent="0.3">
      <c r="A845" t="s">
        <v>65</v>
      </c>
      <c r="B845" t="s">
        <v>377</v>
      </c>
      <c r="C845" s="2" t="s">
        <v>755</v>
      </c>
      <c r="D845" s="1">
        <v>900</v>
      </c>
      <c r="E845" s="1">
        <v>8</v>
      </c>
      <c r="F845" s="5"/>
      <c r="G845" s="1" t="str">
        <f>IF(OR(ISERROR(SEARCH("recipiente",A845))=FALSE, ISERROR(SEARCH("serbatoio",A845))=FALSE, ISERROR(SEARCH("scambiatore",A845))=FALSE),
    IF(D845*E845&gt;3000,"IV",
        IF(D845*E845&gt;1000,"III",
            IF(D845*E845&gt;200,"II",
                IF(D845*E845&gt;50,"I","")
            )
        )
    ),
    IF(ISERROR(SEARCH("valvola di sicurezza",A845))=FALSE,"IV","")
)</f>
        <v/>
      </c>
    </row>
    <row r="846" spans="1:7" x14ac:dyDescent="0.3">
      <c r="A846" t="s">
        <v>65</v>
      </c>
      <c r="B846" t="s">
        <v>377</v>
      </c>
      <c r="C846" s="2" t="s">
        <v>756</v>
      </c>
      <c r="D846" s="1">
        <v>750</v>
      </c>
      <c r="E846" s="1">
        <v>11</v>
      </c>
      <c r="F846" s="5"/>
      <c r="G846" s="1" t="str">
        <f>IF(OR(ISERROR(SEARCH("recipiente",A846))=FALSE, ISERROR(SEARCH("serbatoio",A846))=FALSE, ISERROR(SEARCH("scambiatore",A846))=FALSE),
    IF(D846*E846&gt;3000,"IV",
        IF(D846*E846&gt;1000,"III",
            IF(D846*E846&gt;200,"II",
                IF(D846*E846&gt;50,"I","")
            )
        )
    ),
    IF(ISERROR(SEARCH("valvola di sicurezza",A846))=FALSE,"IV","")
)</f>
        <v/>
      </c>
    </row>
    <row r="847" spans="1:7" x14ac:dyDescent="0.3">
      <c r="A847" t="s">
        <v>65</v>
      </c>
      <c r="B847" t="s">
        <v>377</v>
      </c>
      <c r="C847" s="2" t="s">
        <v>757</v>
      </c>
      <c r="D847" s="1">
        <v>550</v>
      </c>
      <c r="E847" s="1">
        <v>15</v>
      </c>
      <c r="F847" s="5"/>
      <c r="G847" s="1" t="str">
        <f>IF(OR(ISERROR(SEARCH("recipiente",A847))=FALSE, ISERROR(SEARCH("serbatoio",A847))=FALSE, ISERROR(SEARCH("scambiatore",A847))=FALSE),
    IF(D847*E847&gt;3000,"IV",
        IF(D847*E847&gt;1000,"III",
            IF(D847*E847&gt;200,"II",
                IF(D847*E847&gt;50,"I","")
            )
        )
    ),
    IF(ISERROR(SEARCH("valvola di sicurezza",A847))=FALSE,"IV","")
)</f>
        <v/>
      </c>
    </row>
    <row r="848" spans="1:7" x14ac:dyDescent="0.3">
      <c r="A848" t="s">
        <v>65</v>
      </c>
      <c r="B848" t="s">
        <v>377</v>
      </c>
      <c r="C848" s="2" t="s">
        <v>758</v>
      </c>
      <c r="D848" s="1">
        <v>2550</v>
      </c>
      <c r="E848" s="1">
        <v>8</v>
      </c>
      <c r="F848" s="5"/>
      <c r="G848" s="1" t="str">
        <f>IF(OR(ISERROR(SEARCH("recipiente",A848))=FALSE, ISERROR(SEARCH("serbatoio",A848))=FALSE, ISERROR(SEARCH("scambiatore",A848))=FALSE),
    IF(D848*E848&gt;3000,"IV",
        IF(D848*E848&gt;1000,"III",
            IF(D848*E848&gt;200,"II",
                IF(D848*E848&gt;50,"I","")
            )
        )
    ),
    IF(ISERROR(SEARCH("valvola di sicurezza",A848))=FALSE,"IV","")
)</f>
        <v/>
      </c>
    </row>
    <row r="849" spans="1:7" x14ac:dyDescent="0.3">
      <c r="A849" t="s">
        <v>65</v>
      </c>
      <c r="B849" t="s">
        <v>377</v>
      </c>
      <c r="C849" s="2" t="s">
        <v>759</v>
      </c>
      <c r="D849" s="1">
        <v>1900</v>
      </c>
      <c r="E849" s="1">
        <v>15</v>
      </c>
      <c r="F849" s="5"/>
      <c r="G849" s="1" t="str">
        <f>IF(OR(ISERROR(SEARCH("recipiente",A849))=FALSE, ISERROR(SEARCH("serbatoio",A849))=FALSE, ISERROR(SEARCH("scambiatore",A849))=FALSE),
    IF(D849*E849&gt;3000,"IV",
        IF(D849*E849&gt;1000,"III",
            IF(D849*E849&gt;200,"II",
                IF(D849*E849&gt;50,"I","")
            )
        )
    ),
    IF(ISERROR(SEARCH("valvola di sicurezza",A849))=FALSE,"IV","")
)</f>
        <v/>
      </c>
    </row>
    <row r="850" spans="1:7" x14ac:dyDescent="0.3">
      <c r="A850" t="s">
        <v>65</v>
      </c>
      <c r="B850" t="s">
        <v>377</v>
      </c>
      <c r="C850" s="2" t="s">
        <v>760</v>
      </c>
      <c r="D850" s="1">
        <v>2250</v>
      </c>
      <c r="E850" s="1">
        <v>11</v>
      </c>
      <c r="F850" s="5"/>
      <c r="G850" s="1" t="str">
        <f>IF(OR(ISERROR(SEARCH("recipiente",A850))=FALSE, ISERROR(SEARCH("serbatoio",A850))=FALSE, ISERROR(SEARCH("scambiatore",A850))=FALSE),
    IF(D850*E850&gt;3000,"IV",
        IF(D850*E850&gt;1000,"III",
            IF(D850*E850&gt;200,"II",
                IF(D850*E850&gt;50,"I","")
            )
        )
    ),
    IF(ISERROR(SEARCH("valvola di sicurezza",A850))=FALSE,"IV","")
)</f>
        <v/>
      </c>
    </row>
    <row r="851" spans="1:7" x14ac:dyDescent="0.3">
      <c r="A851" t="s">
        <v>65</v>
      </c>
      <c r="B851" t="s">
        <v>377</v>
      </c>
      <c r="C851" s="2" t="s">
        <v>761</v>
      </c>
      <c r="D851" s="1">
        <v>2500</v>
      </c>
      <c r="E851" s="1">
        <v>8</v>
      </c>
      <c r="F851" s="5"/>
      <c r="G851" s="1" t="str">
        <f>IF(OR(ISERROR(SEARCH("recipiente",A851))=FALSE, ISERROR(SEARCH("serbatoio",A851))=FALSE, ISERROR(SEARCH("scambiatore",A851))=FALSE),
    IF(D851*E851&gt;3000,"IV",
        IF(D851*E851&gt;1000,"III",
            IF(D851*E851&gt;200,"II",
                IF(D851*E851&gt;50,"I","")
            )
        )
    ),
    IF(ISERROR(SEARCH("valvola di sicurezza",A851))=FALSE,"IV","")
)</f>
        <v/>
      </c>
    </row>
    <row r="852" spans="1:7" x14ac:dyDescent="0.3">
      <c r="A852" t="s">
        <v>65</v>
      </c>
      <c r="B852" t="s">
        <v>377</v>
      </c>
      <c r="C852" s="2" t="s">
        <v>762</v>
      </c>
      <c r="D852" s="1">
        <v>1720</v>
      </c>
      <c r="E852" s="1">
        <v>15</v>
      </c>
      <c r="F852" s="5"/>
      <c r="G852" s="1" t="str">
        <f>IF(OR(ISERROR(SEARCH("recipiente",A852))=FALSE, ISERROR(SEARCH("serbatoio",A852))=FALSE, ISERROR(SEARCH("scambiatore",A852))=FALSE),
    IF(D852*E852&gt;3000,"IV",
        IF(D852*E852&gt;1000,"III",
            IF(D852*E852&gt;200,"II",
                IF(D852*E852&gt;50,"I","")
            )
        )
    ),
    IF(ISERROR(SEARCH("valvola di sicurezza",A852))=FALSE,"IV","")
)</f>
        <v/>
      </c>
    </row>
    <row r="853" spans="1:7" x14ac:dyDescent="0.3">
      <c r="A853" t="s">
        <v>65</v>
      </c>
      <c r="B853" t="s">
        <v>377</v>
      </c>
      <c r="C853" s="2" t="s">
        <v>763</v>
      </c>
      <c r="D853" s="1">
        <v>2110</v>
      </c>
      <c r="E853" s="1">
        <v>11</v>
      </c>
      <c r="F853" s="5"/>
      <c r="G853" s="1" t="str">
        <f>IF(OR(ISERROR(SEARCH("recipiente",A853))=FALSE, ISERROR(SEARCH("serbatoio",A853))=FALSE, ISERROR(SEARCH("scambiatore",A853))=FALSE),
    IF(D853*E853&gt;3000,"IV",
        IF(D853*E853&gt;1000,"III",
            IF(D853*E853&gt;200,"II",
                IF(D853*E853&gt;50,"I","")
            )
        )
    ),
    IF(ISERROR(SEARCH("valvola di sicurezza",A853))=FALSE,"IV","")
)</f>
        <v/>
      </c>
    </row>
    <row r="854" spans="1:7" x14ac:dyDescent="0.3">
      <c r="A854" t="s">
        <v>65</v>
      </c>
      <c r="B854" t="s">
        <v>377</v>
      </c>
      <c r="C854" s="2" t="s">
        <v>764</v>
      </c>
      <c r="D854" s="1">
        <v>1980</v>
      </c>
      <c r="E854" s="1">
        <v>8</v>
      </c>
      <c r="F854" s="5"/>
      <c r="G854" s="1" t="str">
        <f>IF(OR(ISERROR(SEARCH("recipiente",A854))=FALSE, ISERROR(SEARCH("serbatoio",A854))=FALSE, ISERROR(SEARCH("scambiatore",A854))=FALSE),
    IF(D854*E854&gt;3000,"IV",
        IF(D854*E854&gt;1000,"III",
            IF(D854*E854&gt;200,"II",
                IF(D854*E854&gt;50,"I","")
            )
        )
    ),
    IF(ISERROR(SEARCH("valvola di sicurezza",A854))=FALSE,"IV","")
)</f>
        <v/>
      </c>
    </row>
    <row r="855" spans="1:7" x14ac:dyDescent="0.3">
      <c r="A855" t="s">
        <v>65</v>
      </c>
      <c r="B855" t="s">
        <v>377</v>
      </c>
      <c r="C855" s="2" t="s">
        <v>765</v>
      </c>
      <c r="D855" s="1">
        <v>1370</v>
      </c>
      <c r="E855" s="1">
        <v>15</v>
      </c>
      <c r="F855" s="5"/>
      <c r="G855" s="1" t="str">
        <f>IF(OR(ISERROR(SEARCH("recipiente",A855))=FALSE, ISERROR(SEARCH("serbatoio",A855))=FALSE, ISERROR(SEARCH("scambiatore",A855))=FALSE),
    IF(D855*E855&gt;3000,"IV",
        IF(D855*E855&gt;1000,"III",
            IF(D855*E855&gt;200,"II",
                IF(D855*E855&gt;50,"I","")
            )
        )
    ),
    IF(ISERROR(SEARCH("valvola di sicurezza",A855))=FALSE,"IV","")
)</f>
        <v/>
      </c>
    </row>
    <row r="856" spans="1:7" x14ac:dyDescent="0.3">
      <c r="A856" t="s">
        <v>65</v>
      </c>
      <c r="B856" t="s">
        <v>377</v>
      </c>
      <c r="C856" s="2" t="s">
        <v>766</v>
      </c>
      <c r="D856" s="1">
        <v>1670</v>
      </c>
      <c r="E856" s="1">
        <v>11</v>
      </c>
      <c r="F856" s="5"/>
      <c r="G856" s="1" t="str">
        <f>IF(OR(ISERROR(SEARCH("recipiente",A856))=FALSE, ISERROR(SEARCH("serbatoio",A856))=FALSE, ISERROR(SEARCH("scambiatore",A856))=FALSE),
    IF(D856*E856&gt;3000,"IV",
        IF(D856*E856&gt;1000,"III",
            IF(D856*E856&gt;200,"II",
                IF(D856*E856&gt;50,"I","")
            )
        )
    ),
    IF(ISERROR(SEARCH("valvola di sicurezza",A856))=FALSE,"IV","")
)</f>
        <v/>
      </c>
    </row>
    <row r="857" spans="1:7" x14ac:dyDescent="0.3">
      <c r="A857" t="s">
        <v>65</v>
      </c>
      <c r="B857" t="s">
        <v>377</v>
      </c>
      <c r="C857" s="2" t="s">
        <v>767</v>
      </c>
      <c r="D857" s="1">
        <v>2000</v>
      </c>
      <c r="E857" s="1">
        <v>8</v>
      </c>
      <c r="F857" s="5"/>
      <c r="G857" s="1" t="str">
        <f>IF(OR(ISERROR(SEARCH("recipiente",A857))=FALSE, ISERROR(SEARCH("serbatoio",A857))=FALSE, ISERROR(SEARCH("scambiatore",A857))=FALSE),
    IF(D857*E857&gt;3000,"IV",
        IF(D857*E857&gt;1000,"III",
            IF(D857*E857&gt;200,"II",
                IF(D857*E857&gt;50,"I","")
            )
        )
    ),
    IF(ISERROR(SEARCH("valvola di sicurezza",A857))=FALSE,"IV","")
)</f>
        <v/>
      </c>
    </row>
    <row r="858" spans="1:7" x14ac:dyDescent="0.3">
      <c r="A858" t="s">
        <v>65</v>
      </c>
      <c r="B858" t="s">
        <v>377</v>
      </c>
      <c r="C858" s="2" t="s">
        <v>768</v>
      </c>
      <c r="D858" s="1">
        <v>1320</v>
      </c>
      <c r="E858" s="1">
        <v>15</v>
      </c>
      <c r="F858" s="5"/>
      <c r="G858" s="1" t="str">
        <f>IF(OR(ISERROR(SEARCH("recipiente",A858))=FALSE, ISERROR(SEARCH("serbatoio",A858))=FALSE, ISERROR(SEARCH("scambiatore",A858))=FALSE),
    IF(D858*E858&gt;3000,"IV",
        IF(D858*E858&gt;1000,"III",
            IF(D858*E858&gt;200,"II",
                IF(D858*E858&gt;50,"I","")
            )
        )
    ),
    IF(ISERROR(SEARCH("valvola di sicurezza",A858))=FALSE,"IV","")
)</f>
        <v/>
      </c>
    </row>
    <row r="859" spans="1:7" x14ac:dyDescent="0.3">
      <c r="A859" t="s">
        <v>65</v>
      </c>
      <c r="B859" t="s">
        <v>377</v>
      </c>
      <c r="C859" s="2" t="s">
        <v>769</v>
      </c>
      <c r="D859" s="1">
        <v>1680</v>
      </c>
      <c r="E859" s="1">
        <v>11</v>
      </c>
      <c r="F859" s="5"/>
      <c r="G859" s="1" t="str">
        <f>IF(OR(ISERROR(SEARCH("recipiente",A859))=FALSE, ISERROR(SEARCH("serbatoio",A859))=FALSE, ISERROR(SEARCH("scambiatore",A859))=FALSE),
    IF(D859*E859&gt;3000,"IV",
        IF(D859*E859&gt;1000,"III",
            IF(D859*E859&gt;200,"II",
                IF(D859*E859&gt;50,"I","")
            )
        )
    ),
    IF(ISERROR(SEARCH("valvola di sicurezza",A859))=FALSE,"IV","")
)</f>
        <v/>
      </c>
    </row>
    <row r="860" spans="1:7" x14ac:dyDescent="0.3">
      <c r="A860" t="s">
        <v>65</v>
      </c>
      <c r="B860" t="s">
        <v>377</v>
      </c>
      <c r="C860" s="2" t="s">
        <v>770</v>
      </c>
      <c r="D860" s="1">
        <v>1620</v>
      </c>
      <c r="E860" s="1">
        <v>8</v>
      </c>
      <c r="F860" s="5"/>
      <c r="G860" s="1" t="str">
        <f>IF(OR(ISERROR(SEARCH("recipiente",A860))=FALSE, ISERROR(SEARCH("serbatoio",A860))=FALSE, ISERROR(SEARCH("scambiatore",A860))=FALSE),
    IF(D860*E860&gt;3000,"IV",
        IF(D860*E860&gt;1000,"III",
            IF(D860*E860&gt;200,"II",
                IF(D860*E860&gt;50,"I","")
            )
        )
    ),
    IF(ISERROR(SEARCH("valvola di sicurezza",A860))=FALSE,"IV","")
)</f>
        <v/>
      </c>
    </row>
    <row r="861" spans="1:7" x14ac:dyDescent="0.3">
      <c r="A861" t="s">
        <v>65</v>
      </c>
      <c r="B861" t="s">
        <v>377</v>
      </c>
      <c r="C861" s="2" t="s">
        <v>771</v>
      </c>
      <c r="D861" s="1">
        <v>1090</v>
      </c>
      <c r="E861" s="1">
        <v>15</v>
      </c>
      <c r="F861" s="5"/>
      <c r="G861" s="1" t="str">
        <f>IF(OR(ISERROR(SEARCH("recipiente",A861))=FALSE, ISERROR(SEARCH("serbatoio",A861))=FALSE, ISERROR(SEARCH("scambiatore",A861))=FALSE),
    IF(D861*E861&gt;3000,"IV",
        IF(D861*E861&gt;1000,"III",
            IF(D861*E861&gt;200,"II",
                IF(D861*E861&gt;50,"I","")
            )
        )
    ),
    IF(ISERROR(SEARCH("valvola di sicurezza",A861))=FALSE,"IV","")
)</f>
        <v/>
      </c>
    </row>
    <row r="862" spans="1:7" x14ac:dyDescent="0.3">
      <c r="A862" t="s">
        <v>65</v>
      </c>
      <c r="B862" t="s">
        <v>377</v>
      </c>
      <c r="C862" s="2" t="s">
        <v>772</v>
      </c>
      <c r="D862" s="1">
        <v>1360</v>
      </c>
      <c r="E862" s="1">
        <v>11</v>
      </c>
      <c r="F862" s="5"/>
      <c r="G862" s="1" t="str">
        <f>IF(OR(ISERROR(SEARCH("recipiente",A862))=FALSE, ISERROR(SEARCH("serbatoio",A862))=FALSE, ISERROR(SEARCH("scambiatore",A862))=FALSE),
    IF(D862*E862&gt;3000,"IV",
        IF(D862*E862&gt;1000,"III",
            IF(D862*E862&gt;200,"II",
                IF(D862*E862&gt;50,"I","")
            )
        )
    ),
    IF(ISERROR(SEARCH("valvola di sicurezza",A862))=FALSE,"IV","")
)</f>
        <v/>
      </c>
    </row>
    <row r="863" spans="1:7" x14ac:dyDescent="0.3">
      <c r="A863" t="s">
        <v>65</v>
      </c>
      <c r="B863" t="s">
        <v>377</v>
      </c>
      <c r="C863" s="2" t="s">
        <v>773</v>
      </c>
      <c r="D863" s="1">
        <v>1500</v>
      </c>
      <c r="E863" s="1">
        <v>8</v>
      </c>
      <c r="F863" s="5"/>
      <c r="G863" s="1" t="str">
        <f>IF(OR(ISERROR(SEARCH("recipiente",A863))=FALSE, ISERROR(SEARCH("serbatoio",A863))=FALSE, ISERROR(SEARCH("scambiatore",A863))=FALSE),
    IF(D863*E863&gt;3000,"IV",
        IF(D863*E863&gt;1000,"III",
            IF(D863*E863&gt;200,"II",
                IF(D863*E863&gt;50,"I","")
            )
        )
    ),
    IF(ISERROR(SEARCH("valvola di sicurezza",A863))=FALSE,"IV","")
)</f>
        <v/>
      </c>
    </row>
    <row r="864" spans="1:7" x14ac:dyDescent="0.3">
      <c r="A864" t="s">
        <v>65</v>
      </c>
      <c r="B864" t="s">
        <v>377</v>
      </c>
      <c r="C864" s="2" t="s">
        <v>774</v>
      </c>
      <c r="D864" s="1">
        <v>1260</v>
      </c>
      <c r="E864" s="1">
        <v>11</v>
      </c>
      <c r="F864" s="5"/>
      <c r="G864" s="1" t="str">
        <f>IF(OR(ISERROR(SEARCH("recipiente",A864))=FALSE, ISERROR(SEARCH("serbatoio",A864))=FALSE, ISERROR(SEARCH("scambiatore",A864))=FALSE),
    IF(D864*E864&gt;3000,"IV",
        IF(D864*E864&gt;1000,"III",
            IF(D864*E864&gt;200,"II",
                IF(D864*E864&gt;50,"I","")
            )
        )
    ),
    IF(ISERROR(SEARCH("valvola di sicurezza",A864))=FALSE,"IV","")
)</f>
        <v/>
      </c>
    </row>
    <row r="865" spans="1:8" x14ac:dyDescent="0.3">
      <c r="A865" t="s">
        <v>65</v>
      </c>
      <c r="B865" t="s">
        <v>377</v>
      </c>
      <c r="C865" s="2" t="s">
        <v>775</v>
      </c>
      <c r="D865" s="1">
        <v>990</v>
      </c>
      <c r="E865" s="1">
        <v>15</v>
      </c>
      <c r="F865" s="5"/>
      <c r="G865" s="1" t="str">
        <f>IF(OR(ISERROR(SEARCH("recipiente",A865))=FALSE, ISERROR(SEARCH("serbatoio",A865))=FALSE, ISERROR(SEARCH("scambiatore",A865))=FALSE),
    IF(D865*E865&gt;3000,"IV",
        IF(D865*E865&gt;1000,"III",
            IF(D865*E865&gt;200,"II",
                IF(D865*E865&gt;50,"I","")
            )
        )
    ),
    IF(ISERROR(SEARCH("valvola di sicurezza",A865))=FALSE,"IV","")
)</f>
        <v/>
      </c>
    </row>
    <row r="866" spans="1:8" x14ac:dyDescent="0.3">
      <c r="A866" t="s">
        <v>65</v>
      </c>
      <c r="B866" t="s">
        <v>377</v>
      </c>
      <c r="C866" s="2" t="s">
        <v>776</v>
      </c>
      <c r="D866" s="1">
        <v>1400</v>
      </c>
      <c r="E866" s="1">
        <v>8</v>
      </c>
      <c r="F866" s="5"/>
      <c r="G866" s="1" t="str">
        <f>IF(OR(ISERROR(SEARCH("recipiente",A866))=FALSE, ISERROR(SEARCH("serbatoio",A866))=FALSE, ISERROR(SEARCH("scambiatore",A866))=FALSE),
    IF(D866*E866&gt;3000,"IV",
        IF(D866*E866&gt;1000,"III",
            IF(D866*E866&gt;200,"II",
                IF(D866*E866&gt;50,"I","")
            )
        )
    ),
    IF(ISERROR(SEARCH("valvola di sicurezza",A866))=FALSE,"IV","")
)</f>
        <v/>
      </c>
    </row>
    <row r="867" spans="1:8" x14ac:dyDescent="0.3">
      <c r="A867" t="s">
        <v>65</v>
      </c>
      <c r="B867" t="s">
        <v>377</v>
      </c>
      <c r="C867" s="2" t="s">
        <v>777</v>
      </c>
      <c r="D867" s="1">
        <v>0.95</v>
      </c>
      <c r="E867" s="1">
        <v>15</v>
      </c>
      <c r="F867" s="5"/>
      <c r="G867" s="1" t="str">
        <f>IF(OR(ISERROR(SEARCH("recipiente",A867))=FALSE, ISERROR(SEARCH("serbatoio",A867))=FALSE, ISERROR(SEARCH("scambiatore",A867))=FALSE),
    IF(D867*E867&gt;3000,"IV",
        IF(D867*E867&gt;1000,"III",
            IF(D867*E867&gt;200,"II",
                IF(D867*E867&gt;50,"I","")
            )
        )
    ),
    IF(ISERROR(SEARCH("valvola di sicurezza",A867))=FALSE,"IV","")
)</f>
        <v/>
      </c>
    </row>
    <row r="868" spans="1:8" x14ac:dyDescent="0.3">
      <c r="A868" t="s">
        <v>65</v>
      </c>
      <c r="B868" t="s">
        <v>377</v>
      </c>
      <c r="C868" s="2" t="s">
        <v>778</v>
      </c>
      <c r="D868" s="1">
        <v>1190</v>
      </c>
      <c r="E868" s="1">
        <v>11</v>
      </c>
      <c r="F868" s="5"/>
      <c r="G868" s="1" t="str">
        <f>IF(OR(ISERROR(SEARCH("recipiente",A868))=FALSE, ISERROR(SEARCH("serbatoio",A868))=FALSE, ISERROR(SEARCH("scambiatore",A868))=FALSE),
    IF(D868*E868&gt;3000,"IV",
        IF(D868*E868&gt;1000,"III",
            IF(D868*E868&gt;200,"II",
                IF(D868*E868&gt;50,"I","")
            )
        )
    ),
    IF(ISERROR(SEARCH("valvola di sicurezza",A868))=FALSE,"IV","")
)</f>
        <v/>
      </c>
    </row>
    <row r="869" spans="1:8" x14ac:dyDescent="0.3">
      <c r="A869" t="s">
        <v>65</v>
      </c>
      <c r="B869" t="s">
        <v>377</v>
      </c>
      <c r="C869" s="2" t="s">
        <v>779</v>
      </c>
      <c r="D869" s="1">
        <v>1320</v>
      </c>
      <c r="E869" s="1">
        <v>8</v>
      </c>
      <c r="F869" s="5"/>
      <c r="G869" s="1" t="str">
        <f>IF(OR(ISERROR(SEARCH("recipiente",A869))=FALSE, ISERROR(SEARCH("serbatoio",A869))=FALSE, ISERROR(SEARCH("scambiatore",A869))=FALSE),
    IF(D869*E869&gt;3000,"IV",
        IF(D869*E869&gt;1000,"III",
            IF(D869*E869&gt;200,"II",
                IF(D869*E869&gt;50,"I","")
            )
        )
    ),
    IF(ISERROR(SEARCH("valvola di sicurezza",A869))=FALSE,"IV","")
)</f>
        <v/>
      </c>
      <c r="H869" s="1"/>
    </row>
    <row r="870" spans="1:8" x14ac:dyDescent="0.3">
      <c r="A870" t="s">
        <v>65</v>
      </c>
      <c r="B870" t="s">
        <v>377</v>
      </c>
      <c r="C870" s="2" t="s">
        <v>780</v>
      </c>
      <c r="D870" s="1">
        <v>850</v>
      </c>
      <c r="E870" s="1">
        <v>15</v>
      </c>
      <c r="F870" s="5"/>
      <c r="G870" s="1" t="str">
        <f>IF(OR(ISERROR(SEARCH("recipiente",A870))=FALSE, ISERROR(SEARCH("serbatoio",A870))=FALSE, ISERROR(SEARCH("scambiatore",A870))=FALSE),
    IF(D870*E870&gt;3000,"IV",
        IF(D870*E870&gt;1000,"III",
            IF(D870*E870&gt;200,"II",
                IF(D870*E870&gt;50,"I","")
            )
        )
    ),
    IF(ISERROR(SEARCH("valvola di sicurezza",A870))=FALSE,"IV","")
)</f>
        <v/>
      </c>
    </row>
    <row r="871" spans="1:8" x14ac:dyDescent="0.3">
      <c r="A871" t="s">
        <v>65</v>
      </c>
      <c r="B871" t="s">
        <v>377</v>
      </c>
      <c r="C871" s="2" t="s">
        <v>781</v>
      </c>
      <c r="D871" s="1">
        <v>1080</v>
      </c>
      <c r="E871" s="1">
        <v>11</v>
      </c>
      <c r="F871" s="5"/>
      <c r="G871" s="1" t="str">
        <f>IF(OR(ISERROR(SEARCH("recipiente",A871))=FALSE, ISERROR(SEARCH("serbatoio",A871))=FALSE, ISERROR(SEARCH("scambiatore",A871))=FALSE),
    IF(D871*E871&gt;3000,"IV",
        IF(D871*E871&gt;1000,"III",
            IF(D871*E871&gt;200,"II",
                IF(D871*E871&gt;50,"I","")
            )
        )
    ),
    IF(ISERROR(SEARCH("valvola di sicurezza",A871))=FALSE,"IV","")
)</f>
        <v/>
      </c>
    </row>
    <row r="872" spans="1:8" x14ac:dyDescent="0.3">
      <c r="A872" t="s">
        <v>65</v>
      </c>
      <c r="B872" t="s">
        <v>377</v>
      </c>
      <c r="C872" s="2" t="s">
        <v>782</v>
      </c>
      <c r="D872" s="1">
        <v>1240</v>
      </c>
      <c r="E872" s="1">
        <v>8</v>
      </c>
      <c r="F872" s="5"/>
      <c r="G872" s="1" t="str">
        <f>IF(OR(ISERROR(SEARCH("recipiente",A872))=FALSE, ISERROR(SEARCH("serbatoio",A872))=FALSE, ISERROR(SEARCH("scambiatore",A872))=FALSE),
    IF(D872*E872&gt;3000,"IV",
        IF(D872*E872&gt;1000,"III",
            IF(D872*E872&gt;200,"II",
                IF(D872*E872&gt;50,"I","")
            )
        )
    ),
    IF(ISERROR(SEARCH("valvola di sicurezza",A872))=FALSE,"IV","")
)</f>
        <v/>
      </c>
    </row>
    <row r="873" spans="1:8" x14ac:dyDescent="0.3">
      <c r="A873" t="s">
        <v>65</v>
      </c>
      <c r="B873" t="s">
        <v>377</v>
      </c>
      <c r="C873" s="2" t="s">
        <v>783</v>
      </c>
      <c r="D873" s="1">
        <v>1040</v>
      </c>
      <c r="E873" s="1">
        <v>11</v>
      </c>
      <c r="F873" s="5"/>
      <c r="G873" s="1" t="str">
        <f>IF(OR(ISERROR(SEARCH("recipiente",A873))=FALSE, ISERROR(SEARCH("serbatoio",A873))=FALSE, ISERROR(SEARCH("scambiatore",A873))=FALSE),
    IF(D873*E873&gt;3000,"IV",
        IF(D873*E873&gt;1000,"III",
            IF(D873*E873&gt;200,"II",
                IF(D873*E873&gt;50,"I","")
            )
        )
    ),
    IF(ISERROR(SEARCH("valvola di sicurezza",A873))=FALSE,"IV","")
)</f>
        <v/>
      </c>
    </row>
    <row r="874" spans="1:8" x14ac:dyDescent="0.3">
      <c r="A874" t="s">
        <v>65</v>
      </c>
      <c r="B874" t="s">
        <v>377</v>
      </c>
      <c r="C874" s="2" t="s">
        <v>784</v>
      </c>
      <c r="D874" s="1">
        <v>780</v>
      </c>
      <c r="E874" s="1">
        <v>15</v>
      </c>
      <c r="F874" s="5"/>
      <c r="G874" s="1" t="str">
        <f>IF(OR(ISERROR(SEARCH("recipiente",A874))=FALSE, ISERROR(SEARCH("serbatoio",A874))=FALSE, ISERROR(SEARCH("scambiatore",A874))=FALSE),
    IF(D874*E874&gt;3000,"IV",
        IF(D874*E874&gt;1000,"III",
            IF(D874*E874&gt;200,"II",
                IF(D874*E874&gt;50,"I","")
            )
        )
    ),
    IF(ISERROR(SEARCH("valvola di sicurezza",A874))=FALSE,"IV","")
)</f>
        <v/>
      </c>
    </row>
    <row r="875" spans="1:8" x14ac:dyDescent="0.3">
      <c r="A875" t="s">
        <v>65</v>
      </c>
      <c r="B875" t="s">
        <v>377</v>
      </c>
      <c r="C875" s="2" t="s">
        <v>785</v>
      </c>
      <c r="D875" s="1">
        <v>1200</v>
      </c>
      <c r="E875" s="1">
        <v>8</v>
      </c>
      <c r="F875" s="5"/>
      <c r="G875" s="1" t="str">
        <f>IF(OR(ISERROR(SEARCH("recipiente",A875))=FALSE, ISERROR(SEARCH("serbatoio",A875))=FALSE, ISERROR(SEARCH("scambiatore",A875))=FALSE),
    IF(D875*E875&gt;3000,"IV",
        IF(D875*E875&gt;1000,"III",
            IF(D875*E875&gt;200,"II",
                IF(D875*E875&gt;50,"I","")
            )
        )
    ),
    IF(ISERROR(SEARCH("valvola di sicurezza",A875))=FALSE,"IV","")
)</f>
        <v/>
      </c>
    </row>
    <row r="876" spans="1:8" x14ac:dyDescent="0.3">
      <c r="A876" t="s">
        <v>65</v>
      </c>
      <c r="B876" t="s">
        <v>377</v>
      </c>
      <c r="C876" s="2" t="s">
        <v>786</v>
      </c>
      <c r="D876" s="1">
        <v>1010</v>
      </c>
      <c r="E876" s="1">
        <v>11</v>
      </c>
      <c r="F876" s="5"/>
      <c r="G876" s="1" t="str">
        <f>IF(OR(ISERROR(SEARCH("recipiente",A876))=FALSE, ISERROR(SEARCH("serbatoio",A876))=FALSE, ISERROR(SEARCH("scambiatore",A876))=FALSE),
    IF(D876*E876&gt;3000,"IV",
        IF(D876*E876&gt;1000,"III",
            IF(D876*E876&gt;200,"II",
                IF(D876*E876&gt;50,"I","")
            )
        )
    ),
    IF(ISERROR(SEARCH("valvola di sicurezza",A876))=FALSE,"IV","")
)</f>
        <v/>
      </c>
    </row>
    <row r="877" spans="1:8" x14ac:dyDescent="0.3">
      <c r="A877" t="s">
        <v>65</v>
      </c>
      <c r="B877" t="s">
        <v>377</v>
      </c>
      <c r="C877" s="2" t="s">
        <v>787</v>
      </c>
      <c r="D877" s="1">
        <v>770</v>
      </c>
      <c r="E877" s="1">
        <v>15</v>
      </c>
      <c r="F877" s="5"/>
      <c r="G877" s="1" t="str">
        <f>IF(OR(ISERROR(SEARCH("recipiente",A877))=FALSE, ISERROR(SEARCH("serbatoio",A877))=FALSE, ISERROR(SEARCH("scambiatore",A877))=FALSE),
    IF(D877*E877&gt;3000,"IV",
        IF(D877*E877&gt;1000,"III",
            IF(D877*E877&gt;200,"II",
                IF(D877*E877&gt;50,"I","")
            )
        )
    ),
    IF(ISERROR(SEARCH("valvola di sicurezza",A877))=FALSE,"IV","")
)</f>
        <v/>
      </c>
    </row>
    <row r="878" spans="1:8" x14ac:dyDescent="0.3">
      <c r="A878" t="s">
        <v>65</v>
      </c>
      <c r="B878" t="s">
        <v>377</v>
      </c>
      <c r="C878" s="2" t="s">
        <v>788</v>
      </c>
      <c r="D878" s="1">
        <v>940</v>
      </c>
      <c r="E878" s="1">
        <v>8</v>
      </c>
      <c r="F878" s="5"/>
      <c r="G878" s="1" t="str">
        <f>IF(OR(ISERROR(SEARCH("recipiente",A878))=FALSE, ISERROR(SEARCH("serbatoio",A878))=FALSE, ISERROR(SEARCH("scambiatore",A878))=FALSE),
    IF(D878*E878&gt;3000,"IV",
        IF(D878*E878&gt;1000,"III",
            IF(D878*E878&gt;200,"II",
                IF(D878*E878&gt;50,"I","")
            )
        )
    ),
    IF(ISERROR(SEARCH("valvola di sicurezza",A878))=FALSE,"IV","")
)</f>
        <v/>
      </c>
    </row>
    <row r="879" spans="1:8" x14ac:dyDescent="0.3">
      <c r="A879" t="s">
        <v>65</v>
      </c>
      <c r="B879" t="s">
        <v>377</v>
      </c>
      <c r="C879" s="2" t="s">
        <v>789</v>
      </c>
      <c r="D879" s="1">
        <v>600</v>
      </c>
      <c r="E879" s="1">
        <v>15</v>
      </c>
      <c r="F879" s="5"/>
      <c r="G879" s="1" t="str">
        <f>IF(OR(ISERROR(SEARCH("recipiente",A879))=FALSE, ISERROR(SEARCH("serbatoio",A879))=FALSE, ISERROR(SEARCH("scambiatore",A879))=FALSE),
    IF(D879*E879&gt;3000,"IV",
        IF(D879*E879&gt;1000,"III",
            IF(D879*E879&gt;200,"II",
                IF(D879*E879&gt;50,"I","")
            )
        )
    ),
    IF(ISERROR(SEARCH("valvola di sicurezza",A879))=FALSE,"IV","")
)</f>
        <v/>
      </c>
    </row>
    <row r="880" spans="1:8" x14ac:dyDescent="0.3">
      <c r="A880" t="s">
        <v>65</v>
      </c>
      <c r="B880" t="s">
        <v>377</v>
      </c>
      <c r="C880" s="2" t="s">
        <v>790</v>
      </c>
      <c r="D880" s="1">
        <v>780</v>
      </c>
      <c r="E880" s="1">
        <v>11</v>
      </c>
      <c r="F880" s="5"/>
      <c r="G880" s="1" t="str">
        <f>IF(OR(ISERROR(SEARCH("recipiente",A880))=FALSE, ISERROR(SEARCH("serbatoio",A880))=FALSE, ISERROR(SEARCH("scambiatore",A880))=FALSE),
    IF(D880*E880&gt;3000,"IV",
        IF(D880*E880&gt;1000,"III",
            IF(D880*E880&gt;200,"II",
                IF(D880*E880&gt;50,"I","")
            )
        )
    ),
    IF(ISERROR(SEARCH("valvola di sicurezza",A880))=FALSE,"IV","")
)</f>
        <v/>
      </c>
    </row>
    <row r="881" spans="1:7" x14ac:dyDescent="0.3">
      <c r="A881" t="s">
        <v>65</v>
      </c>
      <c r="B881" t="s">
        <v>377</v>
      </c>
      <c r="C881" s="2" t="s">
        <v>791</v>
      </c>
      <c r="D881" s="1">
        <v>500</v>
      </c>
      <c r="E881" s="1">
        <v>10</v>
      </c>
      <c r="F881" s="5"/>
      <c r="G881" s="1" t="str">
        <f>IF(OR(ISERROR(SEARCH("recipiente",A881))=FALSE, ISERROR(SEARCH("serbatoio",A881))=FALSE, ISERROR(SEARCH("scambiatore",A881))=FALSE),
    IF(D881*E881&gt;3000,"IV",
        IF(D881*E881&gt;1000,"III",
            IF(D881*E881&gt;200,"II",
                IF(D881*E881&gt;50,"I","")
            )
        )
    ),
    IF(ISERROR(SEARCH("valvola di sicurezza",A881))=FALSE,"IV","")
)</f>
        <v/>
      </c>
    </row>
    <row r="882" spans="1:7" x14ac:dyDescent="0.3">
      <c r="A882" t="s">
        <v>301</v>
      </c>
      <c r="B882" t="s">
        <v>377</v>
      </c>
      <c r="C882" s="2" t="s">
        <v>792</v>
      </c>
      <c r="D882" s="1">
        <v>1250</v>
      </c>
      <c r="E882" s="1">
        <v>16</v>
      </c>
      <c r="F882" s="5">
        <v>60</v>
      </c>
      <c r="G882" s="1" t="str">
        <f>IF(OR(ISERROR(SEARCH("recipiente",A882))=FALSE, ISERROR(SEARCH("serbatoio",A882))=FALSE, ISERROR(SEARCH("scambiatore",A882))=FALSE),
    IF(D882*E882&gt;3000,"IV",
        IF(D882*E882&gt;1000,"III",
            IF(D882*E882&gt;200,"II",
                IF(D882*E882&gt;50,"I","")
            )
        )
    ),
    IF(ISERROR(SEARCH("valvola di sicurezza",A882))=FALSE,"IV","")
)</f>
        <v/>
      </c>
    </row>
    <row r="883" spans="1:7" x14ac:dyDescent="0.3">
      <c r="A883" t="s">
        <v>301</v>
      </c>
      <c r="B883" t="s">
        <v>377</v>
      </c>
      <c r="C883" s="2" t="s">
        <v>793</v>
      </c>
      <c r="D883" s="1">
        <v>600</v>
      </c>
      <c r="E883" s="1">
        <v>16</v>
      </c>
      <c r="F883" s="5">
        <v>60</v>
      </c>
      <c r="G883" s="1" t="str">
        <f>IF(OR(ISERROR(SEARCH("recipiente",A883))=FALSE, ISERROR(SEARCH("serbatoio",A883))=FALSE, ISERROR(SEARCH("scambiatore",A883))=FALSE),
    IF(D883*E883&gt;3000,"IV",
        IF(D883*E883&gt;1000,"III",
            IF(D883*E883&gt;200,"II",
                IF(D883*E883&gt;50,"I","")
            )
        )
    ),
    IF(ISERROR(SEARCH("valvola di sicurezza",A883))=FALSE,"IV","")
)</f>
        <v/>
      </c>
    </row>
    <row r="884" spans="1:7" x14ac:dyDescent="0.3">
      <c r="A884" t="s">
        <v>301</v>
      </c>
      <c r="B884" t="s">
        <v>377</v>
      </c>
      <c r="C884" s="2" t="s">
        <v>794</v>
      </c>
      <c r="D884" s="1">
        <v>850</v>
      </c>
      <c r="E884" s="1">
        <v>16</v>
      </c>
      <c r="F884" s="5">
        <v>60</v>
      </c>
      <c r="G884" s="1" t="str">
        <f>IF(OR(ISERROR(SEARCH("recipiente",A884))=FALSE, ISERROR(SEARCH("serbatoio",A884))=FALSE, ISERROR(SEARCH("scambiatore",A884))=FALSE),
    IF(D884*E884&gt;3000,"IV",
        IF(D884*E884&gt;1000,"III",
            IF(D884*E884&gt;200,"II",
                IF(D884*E884&gt;50,"I","")
            )
        )
    ),
    IF(ISERROR(SEARCH("valvola di sicurezza",A884))=FALSE,"IV","")
)</f>
        <v/>
      </c>
    </row>
    <row r="885" spans="1:7" x14ac:dyDescent="0.3">
      <c r="A885" t="s">
        <v>301</v>
      </c>
      <c r="B885" t="s">
        <v>377</v>
      </c>
      <c r="C885" s="2" t="s">
        <v>795</v>
      </c>
      <c r="D885" s="1">
        <v>800</v>
      </c>
      <c r="E885" s="1">
        <v>16</v>
      </c>
      <c r="F885" s="5">
        <v>60</v>
      </c>
      <c r="G885" s="1" t="str">
        <f>IF(OR(ISERROR(SEARCH("recipiente",A885))=FALSE, ISERROR(SEARCH("serbatoio",A885))=FALSE, ISERROR(SEARCH("scambiatore",A885))=FALSE),
    IF(D885*E885&gt;3000,"IV",
        IF(D885*E885&gt;1000,"III",
            IF(D885*E885&gt;200,"II",
                IF(D885*E885&gt;50,"I","")
            )
        )
    ),
    IF(ISERROR(SEARCH("valvola di sicurezza",A885))=FALSE,"IV","")
)</f>
        <v/>
      </c>
    </row>
    <row r="886" spans="1:7" x14ac:dyDescent="0.3">
      <c r="A886" t="s">
        <v>301</v>
      </c>
      <c r="B886" t="s">
        <v>377</v>
      </c>
      <c r="C886" s="2" t="s">
        <v>796</v>
      </c>
      <c r="D886" s="1">
        <v>350</v>
      </c>
      <c r="E886" s="1">
        <v>16</v>
      </c>
      <c r="F886" s="5">
        <v>60</v>
      </c>
      <c r="G886" s="1" t="str">
        <f>IF(OR(ISERROR(SEARCH("recipiente",A886))=FALSE, ISERROR(SEARCH("serbatoio",A886))=FALSE, ISERROR(SEARCH("scambiatore",A886))=FALSE),
    IF(D886*E886&gt;3000,"IV",
        IF(D886*E886&gt;1000,"III",
            IF(D886*E886&gt;200,"II",
                IF(D886*E886&gt;50,"I","")
            )
        )
    ),
    IF(ISERROR(SEARCH("valvola di sicurezza",A886))=FALSE,"IV","")
)</f>
        <v/>
      </c>
    </row>
    <row r="887" spans="1:7" x14ac:dyDescent="0.3">
      <c r="A887" t="s">
        <v>301</v>
      </c>
      <c r="B887" t="s">
        <v>377</v>
      </c>
      <c r="C887" s="2" t="s">
        <v>797</v>
      </c>
      <c r="D887" s="1">
        <v>600</v>
      </c>
      <c r="E887" s="1">
        <v>16</v>
      </c>
      <c r="F887" s="5">
        <v>60</v>
      </c>
      <c r="G887" s="1" t="str">
        <f>IF(OR(ISERROR(SEARCH("recipiente",A887))=FALSE, ISERROR(SEARCH("serbatoio",A887))=FALSE, ISERROR(SEARCH("scambiatore",A887))=FALSE),
    IF(D887*E887&gt;3000,"IV",
        IF(D887*E887&gt;1000,"III",
            IF(D887*E887&gt;200,"II",
                IF(D887*E887&gt;50,"I","")
            )
        )
    ),
    IF(ISERROR(SEARCH("valvola di sicurezza",A887))=FALSE,"IV","")
)</f>
        <v/>
      </c>
    </row>
    <row r="888" spans="1:7" x14ac:dyDescent="0.3">
      <c r="A888" t="s">
        <v>301</v>
      </c>
      <c r="B888" t="s">
        <v>377</v>
      </c>
      <c r="C888" s="2" t="s">
        <v>798</v>
      </c>
      <c r="D888" s="1">
        <v>2100</v>
      </c>
      <c r="E888" s="1">
        <v>16</v>
      </c>
      <c r="F888" s="5">
        <v>60</v>
      </c>
      <c r="G888" s="1" t="str">
        <f>IF(OR(ISERROR(SEARCH("recipiente",A888))=FALSE, ISERROR(SEARCH("serbatoio",A888))=FALSE, ISERROR(SEARCH("scambiatore",A888))=FALSE),
    IF(D888*E888&gt;3000,"IV",
        IF(D888*E888&gt;1000,"III",
            IF(D888*E888&gt;200,"II",
                IF(D888*E888&gt;50,"I","")
            )
        )
    ),
    IF(ISERROR(SEARCH("valvola di sicurezza",A888))=FALSE,"IV","")
)</f>
        <v/>
      </c>
    </row>
    <row r="889" spans="1:7" x14ac:dyDescent="0.3">
      <c r="A889" t="s">
        <v>301</v>
      </c>
      <c r="B889" t="s">
        <v>377</v>
      </c>
      <c r="C889" s="2" t="s">
        <v>799</v>
      </c>
      <c r="D889" s="1">
        <v>2550</v>
      </c>
      <c r="E889" s="1">
        <v>16</v>
      </c>
      <c r="F889" s="5">
        <v>60</v>
      </c>
      <c r="G889" s="1" t="str">
        <f>IF(OR(ISERROR(SEARCH("recipiente",A889))=FALSE, ISERROR(SEARCH("serbatoio",A889))=FALSE, ISERROR(SEARCH("scambiatore",A889))=FALSE),
    IF(D889*E889&gt;3000,"IV",
        IF(D889*E889&gt;1000,"III",
            IF(D889*E889&gt;200,"II",
                IF(D889*E889&gt;50,"I","")
            )
        )
    ),
    IF(ISERROR(SEARCH("valvola di sicurezza",A889))=FALSE,"IV","")
)</f>
        <v/>
      </c>
    </row>
    <row r="890" spans="1:7" x14ac:dyDescent="0.3">
      <c r="A890" t="s">
        <v>301</v>
      </c>
      <c r="B890" t="s">
        <v>377</v>
      </c>
      <c r="C890" s="2" t="s">
        <v>800</v>
      </c>
      <c r="D890" s="1">
        <v>1200</v>
      </c>
      <c r="E890" s="1">
        <v>16</v>
      </c>
      <c r="F890" s="5">
        <v>60</v>
      </c>
      <c r="G890" s="1" t="str">
        <f>IF(OR(ISERROR(SEARCH("recipiente",A890))=FALSE, ISERROR(SEARCH("serbatoio",A890))=FALSE, ISERROR(SEARCH("scambiatore",A890))=FALSE),
    IF(D890*E890&gt;3000,"IV",
        IF(D890*E890&gt;1000,"III",
            IF(D890*E890&gt;200,"II",
                IF(D890*E890&gt;50,"I","")
            )
        )
    ),
    IF(ISERROR(SEARCH("valvola di sicurezza",A890))=FALSE,"IV","")
)</f>
        <v/>
      </c>
    </row>
    <row r="891" spans="1:7" x14ac:dyDescent="0.3">
      <c r="A891" t="s">
        <v>301</v>
      </c>
      <c r="B891" t="s">
        <v>377</v>
      </c>
      <c r="C891" s="2" t="s">
        <v>801</v>
      </c>
      <c r="D891" s="1">
        <v>1600</v>
      </c>
      <c r="E891" s="1">
        <v>16</v>
      </c>
      <c r="F891" s="5">
        <v>60</v>
      </c>
      <c r="G891" s="1" t="str">
        <f>IF(OR(ISERROR(SEARCH("recipiente",A891))=FALSE, ISERROR(SEARCH("serbatoio",A891))=FALSE, ISERROR(SEARCH("scambiatore",A891))=FALSE),
    IF(D891*E891&gt;3000,"IV",
        IF(D891*E891&gt;1000,"III",
            IF(D891*E891&gt;200,"II",
                IF(D891*E891&gt;50,"I","")
            )
        )
    ),
    IF(ISERROR(SEARCH("valvola di sicurezza",A891))=FALSE,"IV","")
)</f>
        <v/>
      </c>
    </row>
    <row r="892" spans="1:7" x14ac:dyDescent="0.3">
      <c r="A892" t="s">
        <v>301</v>
      </c>
      <c r="B892" t="s">
        <v>377</v>
      </c>
      <c r="C892" s="2" t="s">
        <v>802</v>
      </c>
      <c r="D892" s="1">
        <v>2200</v>
      </c>
      <c r="E892" s="1">
        <v>16</v>
      </c>
      <c r="F892" s="5">
        <v>60</v>
      </c>
      <c r="G892" s="1" t="str">
        <f>IF(OR(ISERROR(SEARCH("recipiente",A892))=FALSE, ISERROR(SEARCH("serbatoio",A892))=FALSE, ISERROR(SEARCH("scambiatore",A892))=FALSE),
    IF(D892*E892&gt;3000,"IV",
        IF(D892*E892&gt;1000,"III",
            IF(D892*E892&gt;200,"II",
                IF(D892*E892&gt;50,"I","")
            )
        )
    ),
    IF(ISERROR(SEARCH("valvola di sicurezza",A892))=FALSE,"IV","")
)</f>
        <v/>
      </c>
    </row>
    <row r="893" spans="1:7" x14ac:dyDescent="0.3">
      <c r="A893" t="s">
        <v>301</v>
      </c>
      <c r="B893" t="s">
        <v>377</v>
      </c>
      <c r="C893" s="2" t="s">
        <v>803</v>
      </c>
      <c r="D893" s="1">
        <v>3200</v>
      </c>
      <c r="E893" s="1">
        <v>16</v>
      </c>
      <c r="F893" s="5">
        <v>60</v>
      </c>
      <c r="G893" s="1" t="str">
        <f>IF(OR(ISERROR(SEARCH("recipiente",A893))=FALSE, ISERROR(SEARCH("serbatoio",A893))=FALSE, ISERROR(SEARCH("scambiatore",A893))=FALSE),
    IF(D893*E893&gt;3000,"IV",
        IF(D893*E893&gt;1000,"III",
            IF(D893*E893&gt;200,"II",
                IF(D893*E893&gt;50,"I","")
            )
        )
    ),
    IF(ISERROR(SEARCH("valvola di sicurezza",A893))=FALSE,"IV","")
)</f>
        <v/>
      </c>
    </row>
    <row r="894" spans="1:7" x14ac:dyDescent="0.3">
      <c r="A894" t="s">
        <v>301</v>
      </c>
      <c r="B894" t="s">
        <v>377</v>
      </c>
      <c r="C894" s="2" t="s">
        <v>804</v>
      </c>
      <c r="D894" s="1">
        <v>3900</v>
      </c>
      <c r="E894" s="1">
        <v>16</v>
      </c>
      <c r="F894" s="5">
        <v>60</v>
      </c>
      <c r="G894" s="1" t="str">
        <f>IF(OR(ISERROR(SEARCH("recipiente",A894))=FALSE, ISERROR(SEARCH("serbatoio",A894))=FALSE, ISERROR(SEARCH("scambiatore",A894))=FALSE),
    IF(D894*E894&gt;3000,"IV",
        IF(D894*E894&gt;1000,"III",
            IF(D894*E894&gt;200,"II",
                IF(D894*E894&gt;50,"I","")
            )
        )
    ),
    IF(ISERROR(SEARCH("valvola di sicurezza",A894))=FALSE,"IV","")
)</f>
        <v/>
      </c>
    </row>
    <row r="895" spans="1:7" x14ac:dyDescent="0.3">
      <c r="A895" t="s">
        <v>301</v>
      </c>
      <c r="B895" t="s">
        <v>377</v>
      </c>
      <c r="C895" s="2" t="s">
        <v>805</v>
      </c>
      <c r="D895" s="1">
        <v>4700</v>
      </c>
      <c r="E895" s="1">
        <v>16</v>
      </c>
      <c r="F895" s="5">
        <v>60</v>
      </c>
      <c r="G895" s="1" t="str">
        <f>IF(OR(ISERROR(SEARCH("recipiente",A895))=FALSE, ISERROR(SEARCH("serbatoio",A895))=FALSE, ISERROR(SEARCH("scambiatore",A895))=FALSE),
    IF(D895*E895&gt;3000,"IV",
        IF(D895*E895&gt;1000,"III",
            IF(D895*E895&gt;200,"II",
                IF(D895*E895&gt;50,"I","")
            )
        )
    ),
    IF(ISERROR(SEARCH("valvola di sicurezza",A895))=FALSE,"IV","")
)</f>
        <v/>
      </c>
    </row>
    <row r="896" spans="1:7" x14ac:dyDescent="0.3">
      <c r="A896" t="s">
        <v>301</v>
      </c>
      <c r="B896" t="s">
        <v>377</v>
      </c>
      <c r="C896" s="2" t="s">
        <v>806</v>
      </c>
      <c r="D896" s="1">
        <v>2600</v>
      </c>
      <c r="E896" s="1">
        <v>16</v>
      </c>
      <c r="F896" s="5">
        <v>60</v>
      </c>
      <c r="G896" s="1" t="str">
        <f>IF(OR(ISERROR(SEARCH("recipiente",A896))=FALSE, ISERROR(SEARCH("serbatoio",A896))=FALSE, ISERROR(SEARCH("scambiatore",A896))=FALSE),
    IF(D896*E896&gt;3000,"IV",
        IF(D896*E896&gt;1000,"III",
            IF(D896*E896&gt;200,"II",
                IF(D896*E896&gt;50,"I","")
            )
        )
    ),
    IF(ISERROR(SEARCH("valvola di sicurezza",A896))=FALSE,"IV","")
)</f>
        <v/>
      </c>
    </row>
    <row r="897" spans="1:7" x14ac:dyDescent="0.3">
      <c r="A897" t="s">
        <v>301</v>
      </c>
      <c r="B897" t="s">
        <v>377</v>
      </c>
      <c r="C897" s="2" t="s">
        <v>807</v>
      </c>
      <c r="D897" s="1">
        <v>3150</v>
      </c>
      <c r="E897" s="1">
        <v>16</v>
      </c>
      <c r="F897" s="5">
        <v>60</v>
      </c>
      <c r="G897" s="1" t="str">
        <f>IF(OR(ISERROR(SEARCH("recipiente",A897))=FALSE, ISERROR(SEARCH("serbatoio",A897))=FALSE, ISERROR(SEARCH("scambiatore",A897))=FALSE),
    IF(D897*E897&gt;3000,"IV",
        IF(D897*E897&gt;1000,"III",
            IF(D897*E897&gt;200,"II",
                IF(D897*E897&gt;50,"I","")
            )
        )
    ),
    IF(ISERROR(SEARCH("valvola di sicurezza",A897))=FALSE,"IV","")
)</f>
        <v/>
      </c>
    </row>
    <row r="898" spans="1:7" x14ac:dyDescent="0.3">
      <c r="A898" t="s">
        <v>301</v>
      </c>
      <c r="B898" t="s">
        <v>377</v>
      </c>
      <c r="C898" s="2" t="s">
        <v>808</v>
      </c>
      <c r="D898" s="1">
        <v>3500</v>
      </c>
      <c r="E898" s="1">
        <v>16</v>
      </c>
      <c r="F898" s="5">
        <v>60</v>
      </c>
      <c r="G898" s="1" t="str">
        <f>IF(OR(ISERROR(SEARCH("recipiente",A898))=FALSE, ISERROR(SEARCH("serbatoio",A898))=FALSE, ISERROR(SEARCH("scambiatore",A898))=FALSE),
    IF(D898*E898&gt;3000,"IV",
        IF(D898*E898&gt;1000,"III",
            IF(D898*E898&gt;200,"II",
                IF(D898*E898&gt;50,"I","")
            )
        )
    ),
    IF(ISERROR(SEARCH("valvola di sicurezza",A898))=FALSE,"IV","")
)</f>
        <v/>
      </c>
    </row>
    <row r="899" spans="1:7" x14ac:dyDescent="0.3">
      <c r="A899" t="s">
        <v>301</v>
      </c>
      <c r="B899" t="s">
        <v>377</v>
      </c>
      <c r="C899" s="2" t="s">
        <v>809</v>
      </c>
      <c r="D899" s="1">
        <v>4500</v>
      </c>
      <c r="E899" s="1">
        <v>16</v>
      </c>
      <c r="F899" s="5">
        <v>60</v>
      </c>
      <c r="G899" s="1" t="str">
        <f>IF(OR(ISERROR(SEARCH("recipiente",A899))=FALSE, ISERROR(SEARCH("serbatoio",A899))=FALSE, ISERROR(SEARCH("scambiatore",A899))=FALSE),
    IF(D899*E899&gt;3000,"IV",
        IF(D899*E899&gt;1000,"III",
            IF(D899*E899&gt;200,"II",
                IF(D899*E899&gt;50,"I","")
            )
        )
    ),
    IF(ISERROR(SEARCH("valvola di sicurezza",A899))=FALSE,"IV","")
)</f>
        <v/>
      </c>
    </row>
    <row r="900" spans="1:7" x14ac:dyDescent="0.3">
      <c r="A900" t="s">
        <v>301</v>
      </c>
      <c r="B900" t="s">
        <v>377</v>
      </c>
      <c r="C900" s="2" t="s">
        <v>810</v>
      </c>
      <c r="D900" s="1">
        <v>5650</v>
      </c>
      <c r="E900" s="1">
        <v>16</v>
      </c>
      <c r="F900" s="5">
        <v>60</v>
      </c>
      <c r="G900" s="1" t="str">
        <f>IF(OR(ISERROR(SEARCH("recipiente",A900))=FALSE, ISERROR(SEARCH("serbatoio",A900))=FALSE, ISERROR(SEARCH("scambiatore",A900))=FALSE),
    IF(D900*E900&gt;3000,"IV",
        IF(D900*E900&gt;1000,"III",
            IF(D900*E900&gt;200,"II",
                IF(D900*E900&gt;50,"I","")
            )
        )
    ),
    IF(ISERROR(SEARCH("valvola di sicurezza",A900))=FALSE,"IV","")
)</f>
        <v/>
      </c>
    </row>
    <row r="901" spans="1:7" x14ac:dyDescent="0.3">
      <c r="A901" t="s">
        <v>301</v>
      </c>
      <c r="B901" t="s">
        <v>377</v>
      </c>
      <c r="C901" s="2" t="s">
        <v>811</v>
      </c>
      <c r="D901" s="1">
        <v>7000</v>
      </c>
      <c r="E901" s="1">
        <v>16</v>
      </c>
      <c r="F901" s="5">
        <v>60</v>
      </c>
      <c r="G901" s="1" t="str">
        <f>IF(OR(ISERROR(SEARCH("recipiente",A901))=FALSE, ISERROR(SEARCH("serbatoio",A901))=FALSE, ISERROR(SEARCH("scambiatore",A901))=FALSE),
    IF(D901*E901&gt;3000,"IV",
        IF(D901*E901&gt;1000,"III",
            IF(D901*E901&gt;200,"II",
                IF(D901*E901&gt;50,"I","")
            )
        )
    ),
    IF(ISERROR(SEARCH("valvola di sicurezza",A901))=FALSE,"IV","")
)</f>
        <v/>
      </c>
    </row>
    <row r="902" spans="1:7" x14ac:dyDescent="0.3">
      <c r="A902" t="s">
        <v>301</v>
      </c>
      <c r="B902" t="s">
        <v>377</v>
      </c>
      <c r="C902" s="2" t="s">
        <v>812</v>
      </c>
      <c r="D902" s="1">
        <v>8250</v>
      </c>
      <c r="E902" s="1">
        <v>16</v>
      </c>
      <c r="F902" s="5">
        <v>60</v>
      </c>
      <c r="G902" s="1" t="str">
        <f>IF(OR(ISERROR(SEARCH("recipiente",A902))=FALSE, ISERROR(SEARCH("serbatoio",A902))=FALSE, ISERROR(SEARCH("scambiatore",A902))=FALSE),
    IF(D902*E902&gt;3000,"IV",
        IF(D902*E902&gt;1000,"III",
            IF(D902*E902&gt;200,"II",
                IF(D902*E902&gt;50,"I","")
            )
        )
    ),
    IF(ISERROR(SEARCH("valvola di sicurezza",A902))=FALSE,"IV","")
)</f>
        <v/>
      </c>
    </row>
    <row r="903" spans="1:7" x14ac:dyDescent="0.3">
      <c r="A903" t="s">
        <v>301</v>
      </c>
      <c r="B903" t="s">
        <v>377</v>
      </c>
      <c r="C903" s="2" t="s">
        <v>813</v>
      </c>
      <c r="D903" s="1">
        <v>10500</v>
      </c>
      <c r="E903" s="1">
        <v>16</v>
      </c>
      <c r="F903" s="5">
        <v>60</v>
      </c>
      <c r="G903" s="1" t="str">
        <f>IF(OR(ISERROR(SEARCH("recipiente",A903))=FALSE, ISERROR(SEARCH("serbatoio",A903))=FALSE, ISERROR(SEARCH("scambiatore",A903))=FALSE),
    IF(D903*E903&gt;3000,"IV",
        IF(D903*E903&gt;1000,"III",
            IF(D903*E903&gt;200,"II",
                IF(D903*E903&gt;50,"I","")
            )
        )
    ),
    IF(ISERROR(SEARCH("valvola di sicurezza",A903))=FALSE,"IV","")
)</f>
        <v/>
      </c>
    </row>
    <row r="904" spans="1:7" x14ac:dyDescent="0.3">
      <c r="A904" t="s">
        <v>301</v>
      </c>
      <c r="B904" t="s">
        <v>377</v>
      </c>
      <c r="C904" s="2" t="s">
        <v>814</v>
      </c>
      <c r="D904" s="1">
        <v>12200</v>
      </c>
      <c r="E904" s="1">
        <v>16</v>
      </c>
      <c r="F904" s="5">
        <v>60</v>
      </c>
      <c r="G904" s="1" t="str">
        <f>IF(OR(ISERROR(SEARCH("recipiente",A904))=FALSE, ISERROR(SEARCH("serbatoio",A904))=FALSE, ISERROR(SEARCH("scambiatore",A904))=FALSE),
    IF(D904*E904&gt;3000,"IV",
        IF(D904*E904&gt;1000,"III",
            IF(D904*E904&gt;200,"II",
                IF(D904*E904&gt;50,"I","")
            )
        )
    ),
    IF(ISERROR(SEARCH("valvola di sicurezza",A904))=FALSE,"IV","")
)</f>
        <v/>
      </c>
    </row>
    <row r="905" spans="1:7" x14ac:dyDescent="0.3">
      <c r="A905" t="s">
        <v>301</v>
      </c>
      <c r="B905" t="s">
        <v>377</v>
      </c>
      <c r="C905" s="2" t="s">
        <v>815</v>
      </c>
      <c r="D905" s="1">
        <v>14500</v>
      </c>
      <c r="E905" s="1">
        <v>16</v>
      </c>
      <c r="F905" s="5">
        <v>60</v>
      </c>
      <c r="G905" s="1" t="str">
        <f>IF(OR(ISERROR(SEARCH("recipiente",A905))=FALSE, ISERROR(SEARCH("serbatoio",A905))=FALSE, ISERROR(SEARCH("scambiatore",A905))=FALSE),
    IF(D905*E905&gt;3000,"IV",
        IF(D905*E905&gt;1000,"III",
            IF(D905*E905&gt;200,"II",
                IF(D905*E905&gt;50,"I","")
            )
        )
    ),
    IF(ISERROR(SEARCH("valvola di sicurezza",A905))=FALSE,"IV","")
)</f>
        <v/>
      </c>
    </row>
    <row r="906" spans="1:7" x14ac:dyDescent="0.3">
      <c r="A906" t="s">
        <v>301</v>
      </c>
      <c r="B906" t="s">
        <v>377</v>
      </c>
      <c r="C906" s="2" t="s">
        <v>816</v>
      </c>
      <c r="D906" s="1">
        <v>17000</v>
      </c>
      <c r="E906" s="1">
        <v>16</v>
      </c>
      <c r="F906" s="5">
        <v>60</v>
      </c>
      <c r="G906" s="1" t="str">
        <f>IF(OR(ISERROR(SEARCH("recipiente",A906))=FALSE, ISERROR(SEARCH("serbatoio",A906))=FALSE, ISERROR(SEARCH("scambiatore",A906))=FALSE),
    IF(D906*E906&gt;3000,"IV",
        IF(D906*E906&gt;1000,"III",
            IF(D906*E906&gt;200,"II",
                IF(D906*E906&gt;50,"I","")
            )
        )
    ),
    IF(ISERROR(SEARCH("valvola di sicurezza",A906))=FALSE,"IV","")
)</f>
        <v/>
      </c>
    </row>
    <row r="907" spans="1:7" x14ac:dyDescent="0.3">
      <c r="A907" t="s">
        <v>301</v>
      </c>
      <c r="B907" t="s">
        <v>377</v>
      </c>
      <c r="C907" s="2" t="s">
        <v>817</v>
      </c>
      <c r="D907" s="1">
        <v>23000</v>
      </c>
      <c r="E907" s="1">
        <v>16</v>
      </c>
      <c r="F907" s="5">
        <v>60</v>
      </c>
      <c r="G907" s="1" t="str">
        <f>IF(OR(ISERROR(SEARCH("recipiente",A907))=FALSE, ISERROR(SEARCH("serbatoio",A907))=FALSE, ISERROR(SEARCH("scambiatore",A907))=FALSE),
    IF(D907*E907&gt;3000,"IV",
        IF(D907*E907&gt;1000,"III",
            IF(D907*E907&gt;200,"II",
                IF(D907*E907&gt;50,"I","")
            )
        )
    ),
    IF(ISERROR(SEARCH("valvola di sicurezza",A907))=FALSE,"IV","")
)</f>
        <v/>
      </c>
    </row>
    <row r="908" spans="1:7" x14ac:dyDescent="0.3">
      <c r="A908" t="s">
        <v>301</v>
      </c>
      <c r="B908" t="s">
        <v>377</v>
      </c>
      <c r="C908" s="2" t="s">
        <v>818</v>
      </c>
      <c r="D908" s="1">
        <v>28000</v>
      </c>
      <c r="E908" s="1">
        <v>16</v>
      </c>
      <c r="F908" s="5">
        <v>60</v>
      </c>
      <c r="G908" s="1" t="str">
        <f>IF(OR(ISERROR(SEARCH("recipiente",A908))=FALSE, ISERROR(SEARCH("serbatoio",A908))=FALSE, ISERROR(SEARCH("scambiatore",A908))=FALSE),
    IF(D908*E908&gt;3000,"IV",
        IF(D908*E908&gt;1000,"III",
            IF(D908*E908&gt;200,"II",
                IF(D908*E908&gt;50,"I","")
            )
        )
    ),
    IF(ISERROR(SEARCH("valvola di sicurezza",A908))=FALSE,"IV","")
)</f>
        <v/>
      </c>
    </row>
    <row r="909" spans="1:7" x14ac:dyDescent="0.3">
      <c r="A909" t="s">
        <v>301</v>
      </c>
      <c r="B909" t="s">
        <v>377</v>
      </c>
      <c r="C909" s="2" t="s">
        <v>819</v>
      </c>
      <c r="D909" s="1">
        <v>34000</v>
      </c>
      <c r="E909" s="1">
        <v>16</v>
      </c>
      <c r="F909" s="5">
        <v>60</v>
      </c>
      <c r="G909" s="1" t="str">
        <f>IF(OR(ISERROR(SEARCH("recipiente",A909))=FALSE, ISERROR(SEARCH("serbatoio",A909))=FALSE, ISERROR(SEARCH("scambiatore",A909))=FALSE),
    IF(D909*E909&gt;3000,"IV",
        IF(D909*E909&gt;1000,"III",
            IF(D909*E909&gt;200,"II",
                IF(D909*E909&gt;50,"I","")
            )
        )
    ),
    IF(ISERROR(SEARCH("valvola di sicurezza",A909))=FALSE,"IV","")
)</f>
        <v/>
      </c>
    </row>
    <row r="910" spans="1:7" x14ac:dyDescent="0.3">
      <c r="A910" t="s">
        <v>65</v>
      </c>
      <c r="B910" t="s">
        <v>377</v>
      </c>
      <c r="C910" s="2" t="s">
        <v>1012</v>
      </c>
      <c r="D910" s="1">
        <v>945</v>
      </c>
      <c r="E910" s="1">
        <v>13</v>
      </c>
      <c r="F910" s="5"/>
      <c r="G910" s="1" t="str">
        <f>IF(OR(ISERROR(SEARCH("recipiente",A910))=FALSE, ISERROR(SEARCH("serbatoio",A910))=FALSE, ISERROR(SEARCH("scambiatore",A910))=FALSE),
    IF(D910*E910&gt;3000,"IV",
        IF(D910*E910&gt;1000,"III",
            IF(D910*E910&gt;200,"II",
                IF(D910*E910&gt;50,"I","")
            )
        )
    ),
    IF(ISERROR(SEARCH("valvola di sicurezza",A910))=FALSE,"IV","")
)</f>
        <v/>
      </c>
    </row>
    <row r="911" spans="1:7" x14ac:dyDescent="0.3">
      <c r="A911" t="s">
        <v>65</v>
      </c>
      <c r="B911" t="s">
        <v>377</v>
      </c>
      <c r="C911" s="2" t="s">
        <v>1018</v>
      </c>
      <c r="D911" s="1">
        <v>8000</v>
      </c>
      <c r="E911" s="1">
        <v>8.5</v>
      </c>
      <c r="F911" s="5"/>
      <c r="G911" s="1" t="str">
        <f>IF(OR(ISERROR(SEARCH("recipiente",A911))=FALSE, ISERROR(SEARCH("serbatoio",A911))=FALSE, ISERROR(SEARCH("scambiatore",A911))=FALSE),
    IF(D911*E911&gt;3000,"IV",
        IF(D911*E911&gt;1000,"III",
            IF(D911*E911&gt;200,"II",
                IF(D911*E911&gt;50,"I","")
            )
        )
    ),
    IF(ISERROR(SEARCH("valvola di sicurezza",A911))=FALSE,"IV","")
)</f>
        <v/>
      </c>
    </row>
    <row r="912" spans="1:7" x14ac:dyDescent="0.3">
      <c r="A912" t="s">
        <v>65</v>
      </c>
      <c r="B912" t="s">
        <v>1013</v>
      </c>
      <c r="C912" s="2" t="s">
        <v>1014</v>
      </c>
      <c r="D912" s="1"/>
      <c r="E912" s="1">
        <v>10</v>
      </c>
      <c r="F912" s="5"/>
      <c r="G912" s="1" t="str">
        <f>IF(OR(ISERROR(SEARCH("recipiente",A912))=FALSE, ISERROR(SEARCH("serbatoio",A912))=FALSE, ISERROR(SEARCH("scambiatore",A912))=FALSE),
    IF(D912*E912&gt;3000,"IV",
        IF(D912*E912&gt;1000,"III",
            IF(D912*E912&gt;200,"II",
                IF(D912*E912&gt;50,"I","")
            )
        )
    ),
    IF(ISERROR(SEARCH("valvola di sicurezza",A912))=FALSE,"IV","")
)</f>
        <v/>
      </c>
    </row>
    <row r="913" spans="1:7" x14ac:dyDescent="0.3">
      <c r="A913" t="s">
        <v>301</v>
      </c>
      <c r="B913" t="s">
        <v>1013</v>
      </c>
      <c r="C913" s="2" t="s">
        <v>1015</v>
      </c>
      <c r="D913" s="1"/>
      <c r="E913" s="1">
        <v>16</v>
      </c>
      <c r="F913" s="5">
        <v>55</v>
      </c>
      <c r="G913" s="1" t="str">
        <f>IF(OR(ISERROR(SEARCH("recipiente",A913))=FALSE, ISERROR(SEARCH("serbatoio",A913))=FALSE, ISERROR(SEARCH("scambiatore",A913))=FALSE),
    IF(D913*E913&gt;3000,"IV",
        IF(D913*E913&gt;1000,"III",
            IF(D913*E913&gt;200,"II",
                IF(D913*E913&gt;50,"I","")
            )
        )
    ),
    IF(ISERROR(SEARCH("valvola di sicurezza",A913))=FALSE,"IV","")
)</f>
        <v/>
      </c>
    </row>
    <row r="914" spans="1:7" x14ac:dyDescent="0.3">
      <c r="A914" t="s">
        <v>301</v>
      </c>
      <c r="B914" t="s">
        <v>820</v>
      </c>
      <c r="C914" s="2" t="s">
        <v>821</v>
      </c>
      <c r="D914" s="1">
        <v>230</v>
      </c>
      <c r="E914" s="1"/>
      <c r="F914" s="5">
        <v>80</v>
      </c>
      <c r="G914" s="1" t="str">
        <f>IF(OR(ISERROR(SEARCH("recipiente",A914))=FALSE, ISERROR(SEARCH("serbatoio",A914))=FALSE, ISERROR(SEARCH("scambiatore",A914))=FALSE),
    IF(D914*E914&gt;3000,"IV",
        IF(D914*E914&gt;1000,"III",
            IF(D914*E914&gt;200,"II",
                IF(D914*E914&gt;50,"I","")
            )
        )
    ),
    IF(ISERROR(SEARCH("valvola di sicurezza",A914))=FALSE,"IV","")
)</f>
        <v/>
      </c>
    </row>
    <row r="915" spans="1:7" x14ac:dyDescent="0.3">
      <c r="A915" t="s">
        <v>301</v>
      </c>
      <c r="B915" t="s">
        <v>820</v>
      </c>
      <c r="C915" s="2" t="s">
        <v>822</v>
      </c>
      <c r="D915" s="1"/>
      <c r="E915" s="1">
        <v>14</v>
      </c>
      <c r="F915" s="5"/>
      <c r="G915" s="1" t="str">
        <f>IF(OR(ISERROR(SEARCH("recipiente",A915))=FALSE, ISERROR(SEARCH("serbatoio",A915))=FALSE, ISERROR(SEARCH("scambiatore",A915))=FALSE),
    IF(D915*E915&gt;3000,"IV",
        IF(D915*E915&gt;1000,"III",
            IF(D915*E915&gt;200,"II",
                IF(D915*E915&gt;50,"I","")
            )
        )
    ),
    IF(ISERROR(SEARCH("valvola di sicurezza",A915))=FALSE,"IV","")
)</f>
        <v/>
      </c>
    </row>
    <row r="916" spans="1:7" x14ac:dyDescent="0.3">
      <c r="A916" t="s">
        <v>301</v>
      </c>
      <c r="B916" t="s">
        <v>820</v>
      </c>
      <c r="C916" s="2" t="s">
        <v>982</v>
      </c>
      <c r="D916" s="1">
        <v>6400</v>
      </c>
      <c r="E916" s="1">
        <v>16</v>
      </c>
      <c r="F916" s="5"/>
      <c r="G916" s="1" t="str">
        <f>IF(OR(ISERROR(SEARCH("recipiente",A916))=FALSE, ISERROR(SEARCH("serbatoio",A916))=FALSE, ISERROR(SEARCH("scambiatore",A916))=FALSE),
    IF(D916*E916&gt;3000,"IV",
        IF(D916*E916&gt;1000,"III",
            IF(D916*E916&gt;200,"II",
                IF(D916*E916&gt;50,"I","")
            )
        )
    ),
    IF(ISERROR(SEARCH("valvola di sicurezza",A916))=FALSE,"IV","")
)</f>
        <v/>
      </c>
    </row>
    <row r="917" spans="1:7" x14ac:dyDescent="0.3">
      <c r="A917" t="s">
        <v>301</v>
      </c>
      <c r="B917" t="s">
        <v>820</v>
      </c>
      <c r="C917" s="2" t="s">
        <v>987</v>
      </c>
      <c r="D917" s="1"/>
      <c r="E917" s="1">
        <v>16</v>
      </c>
      <c r="F917" s="5"/>
      <c r="G917" s="1" t="str">
        <f>IF(OR(ISERROR(SEARCH("recipiente",A917))=FALSE, ISERROR(SEARCH("serbatoio",A917))=FALSE, ISERROR(SEARCH("scambiatore",A917))=FALSE),
    IF(D917*E917&gt;3000,"IV",
        IF(D917*E917&gt;1000,"III",
            IF(D917*E917&gt;200,"II",
                IF(D917*E917&gt;50,"I","")
            )
        )
    ),
    IF(ISERROR(SEARCH("valvola di sicurezza",A917))=FALSE,"IV","")
)</f>
        <v/>
      </c>
    </row>
    <row r="918" spans="1:7" x14ac:dyDescent="0.3">
      <c r="A918" t="s">
        <v>65</v>
      </c>
      <c r="B918" t="s">
        <v>978</v>
      </c>
      <c r="C918" s="2" t="s">
        <v>979</v>
      </c>
      <c r="D918" s="1">
        <v>3030</v>
      </c>
      <c r="E918" s="1">
        <v>8</v>
      </c>
      <c r="F918" s="5"/>
      <c r="G918" s="1" t="str">
        <f>IF(OR(ISERROR(SEARCH("recipiente",A918))=FALSE, ISERROR(SEARCH("serbatoio",A918))=FALSE, ISERROR(SEARCH("scambiatore",A918))=FALSE),
    IF(D918*E918&gt;3000,"IV",
        IF(D918*E918&gt;1000,"III",
            IF(D918*E918&gt;200,"II",
                IF(D918*E918&gt;50,"I","")
            )
        )
    ),
    IF(ISERROR(SEARCH("valvola di sicurezza",A918))=FALSE,"IV","")
)</f>
        <v/>
      </c>
    </row>
    <row r="919" spans="1:7" x14ac:dyDescent="0.3">
      <c r="A919" t="s">
        <v>70</v>
      </c>
      <c r="B919" t="s">
        <v>823</v>
      </c>
      <c r="C919" s="2" t="s">
        <v>824</v>
      </c>
      <c r="D919" s="1">
        <v>38880</v>
      </c>
      <c r="E919" s="1">
        <v>11.5</v>
      </c>
      <c r="F919" s="3" t="s">
        <v>73</v>
      </c>
      <c r="G919" s="1" t="str">
        <f>IF(OR(ISERROR(SEARCH("recipiente",A919))=FALSE, ISERROR(SEARCH("serbatoio",A919))=FALSE, ISERROR(SEARCH("scambiatore",A919))=FALSE),
    IF(#REF!*E919&gt;3000,"IV",
        IF(#REF!*E919&gt;1000,"III",
            IF(#REF!*E919&gt;200,"II",
                IF(#REF!*E919&gt;50,"I","")
            )
        )
    ),
    IF(ISERROR(SEARCH("valvola di sicurezza",A919))=FALSE,"IV","")
)</f>
        <v>IV</v>
      </c>
    </row>
    <row r="920" spans="1:7" x14ac:dyDescent="0.3">
      <c r="A920" t="s">
        <v>70</v>
      </c>
      <c r="B920" t="s">
        <v>825</v>
      </c>
      <c r="C920" s="2" t="s">
        <v>826</v>
      </c>
      <c r="D920" s="1" t="s">
        <v>827</v>
      </c>
      <c r="E920" s="1">
        <v>10.45</v>
      </c>
      <c r="F920" s="4" t="s">
        <v>34</v>
      </c>
      <c r="G920" s="1" t="str">
        <f>IF(OR(ISERROR(SEARCH("recipiente",A920))=FALSE, ISERROR(SEARCH("serbatoio",A920))=FALSE, ISERROR(SEARCH("scambiatore",A920))=FALSE),
    IF(#REF!*E920&gt;3000,"IV",
        IF(#REF!*E920&gt;1000,"III",
            IF(#REF!*E920&gt;200,"II",
                IF(#REF!*E920&gt;50,"I","")
            )
        )
    ),
    IF(ISERROR(SEARCH("valvola di sicurezza",A920))=FALSE,"IV","")
)</f>
        <v>IV</v>
      </c>
    </row>
    <row r="921" spans="1:7" x14ac:dyDescent="0.3">
      <c r="A921" t="s">
        <v>70</v>
      </c>
      <c r="B921" t="s">
        <v>825</v>
      </c>
      <c r="C921" s="2" t="s">
        <v>828</v>
      </c>
      <c r="D921" s="1">
        <v>6710</v>
      </c>
      <c r="E921" s="1">
        <v>10.8</v>
      </c>
      <c r="F921" s="4" t="s">
        <v>34</v>
      </c>
      <c r="G921" s="1" t="str">
        <f>IF(OR(ISERROR(SEARCH("recipiente",A921))=FALSE, ISERROR(SEARCH("serbatoio",A921))=FALSE, ISERROR(SEARCH("scambiatore",A921))=FALSE),
    IF(#REF!*E921&gt;3000,"IV",
        IF(#REF!*E921&gt;1000,"III",
            IF(#REF!*E921&gt;200,"II",
                IF(#REF!*E921&gt;50,"I","")
            )
        )
    ),
    IF(ISERROR(SEARCH("valvola di sicurezza",A921))=FALSE,"IV","")
)</f>
        <v>IV</v>
      </c>
    </row>
    <row r="922" spans="1:7" x14ac:dyDescent="0.3">
      <c r="A922" t="s">
        <v>70</v>
      </c>
      <c r="B922" t="s">
        <v>825</v>
      </c>
      <c r="C922" s="2" t="s">
        <v>829</v>
      </c>
      <c r="D922" s="1">
        <v>6875</v>
      </c>
      <c r="E922" s="1">
        <v>11</v>
      </c>
      <c r="F922" s="4" t="s">
        <v>34</v>
      </c>
      <c r="G922" s="1" t="str">
        <f>IF(OR(ISERROR(SEARCH("recipiente",A922))=FALSE, ISERROR(SEARCH("serbatoio",A922))=FALSE, ISERROR(SEARCH("scambiatore",A922))=FALSE),
    IF(#REF!*E922&gt;3000,"IV",
        IF(#REF!*E922&gt;1000,"III",
            IF(#REF!*E922&gt;200,"II",
                IF(#REF!*E922&gt;50,"I","")
            )
        )
    ),
    IF(ISERROR(SEARCH("valvola di sicurezza",A922))=FALSE,"IV","")
)</f>
        <v>IV</v>
      </c>
    </row>
    <row r="923" spans="1:7" x14ac:dyDescent="0.3">
      <c r="A923" t="s">
        <v>70</v>
      </c>
      <c r="B923" t="s">
        <v>825</v>
      </c>
      <c r="C923" s="2" t="s">
        <v>830</v>
      </c>
      <c r="D923" s="1">
        <v>10253</v>
      </c>
      <c r="E923" s="1">
        <v>16</v>
      </c>
      <c r="F923" s="4" t="s">
        <v>34</v>
      </c>
      <c r="G923" s="1" t="str">
        <f>IF(OR(ISERROR(SEARCH("recipiente",A923))=FALSE, ISERROR(SEARCH("serbatoio",A923))=FALSE, ISERROR(SEARCH("scambiatore",A923))=FALSE),
    IF(#REF!*E923&gt;3000,"IV",
        IF(#REF!*E923&gt;1000,"III",
            IF(#REF!*E923&gt;200,"II",
                IF(#REF!*E923&gt;50,"I","")
            )
        )
    ),
    IF(ISERROR(SEARCH("valvola di sicurezza",A923))=FALSE,"IV","")
)</f>
        <v>IV</v>
      </c>
    </row>
    <row r="924" spans="1:7" x14ac:dyDescent="0.3">
      <c r="A924" t="s">
        <v>70</v>
      </c>
      <c r="B924" t="s">
        <v>825</v>
      </c>
      <c r="C924" s="2" t="s">
        <v>831</v>
      </c>
      <c r="D924" s="1">
        <v>16351</v>
      </c>
      <c r="E924" s="1">
        <v>10</v>
      </c>
      <c r="F924" s="4" t="s">
        <v>34</v>
      </c>
      <c r="G924" s="1" t="str">
        <f>IF(OR(ISERROR(SEARCH("recipiente",A924))=FALSE, ISERROR(SEARCH("serbatoio",A924))=FALSE, ISERROR(SEARCH("scambiatore",A924))=FALSE),
    IF(#REF!*E924&gt;3000,"IV",
        IF(#REF!*E924&gt;1000,"III",
            IF(#REF!*E924&gt;200,"II",
                IF(#REF!*E924&gt;50,"I","")
            )
        )
    ),
    IF(ISERROR(SEARCH("valvola di sicurezza",A924))=FALSE,"IV","")
)</f>
        <v>IV</v>
      </c>
    </row>
    <row r="925" spans="1:7" x14ac:dyDescent="0.3">
      <c r="A925" t="s">
        <v>70</v>
      </c>
      <c r="B925" t="s">
        <v>825</v>
      </c>
      <c r="C925" s="2" t="s">
        <v>832</v>
      </c>
      <c r="D925" s="1">
        <v>17483</v>
      </c>
      <c r="E925" s="1">
        <v>10.8</v>
      </c>
      <c r="F925" s="4" t="s">
        <v>34</v>
      </c>
      <c r="G925" s="1" t="str">
        <f>IF(OR(ISERROR(SEARCH("recipiente",A925))=FALSE, ISERROR(SEARCH("serbatoio",A925))=FALSE, ISERROR(SEARCH("scambiatore",A925))=FALSE),
    IF(#REF!*E925&gt;3000,"IV",
        IF(#REF!*E925&gt;1000,"III",
            IF(#REF!*E925&gt;200,"II",
                IF(#REF!*E925&gt;50,"I","")
            )
        )
    ),
    IF(ISERROR(SEARCH("valvola di sicurezza",A925))=FALSE,"IV","")
)</f>
        <v>IV</v>
      </c>
    </row>
    <row r="926" spans="1:7" x14ac:dyDescent="0.3">
      <c r="A926" t="s">
        <v>70</v>
      </c>
      <c r="B926" t="s">
        <v>825</v>
      </c>
      <c r="C926" s="2" t="s">
        <v>833</v>
      </c>
      <c r="D926" s="1">
        <v>18390</v>
      </c>
      <c r="E926" s="1">
        <v>11.44</v>
      </c>
      <c r="F926" s="4" t="s">
        <v>34</v>
      </c>
      <c r="G926" s="1" t="str">
        <f>IF(OR(ISERROR(SEARCH("recipiente",A926))=FALSE, ISERROR(SEARCH("serbatoio",A926))=FALSE, ISERROR(SEARCH("scambiatore",A926))=FALSE),
    IF(#REF!*E926&gt;3000,"IV",
        IF(#REF!*E926&gt;1000,"III",
            IF(#REF!*E926&gt;200,"II",
                IF(#REF!*E926&gt;50,"I","")
            )
        )
    ),
    IF(ISERROR(SEARCH("valvola di sicurezza",A926))=FALSE,"IV","")
)</f>
        <v>IV</v>
      </c>
    </row>
    <row r="927" spans="1:7" x14ac:dyDescent="0.3">
      <c r="A927" t="s">
        <v>70</v>
      </c>
      <c r="B927" t="s">
        <v>825</v>
      </c>
      <c r="C927" s="2" t="s">
        <v>834</v>
      </c>
      <c r="D927" s="1">
        <v>18475</v>
      </c>
      <c r="E927" s="1">
        <v>11.5</v>
      </c>
      <c r="F927" s="4" t="s">
        <v>34</v>
      </c>
      <c r="G927" s="1" t="str">
        <f>IF(OR(ISERROR(SEARCH("recipiente",A927))=FALSE, ISERROR(SEARCH("serbatoio",A927))=FALSE, ISERROR(SEARCH("scambiatore",A927))=FALSE),
    IF(#REF!*E927&gt;3000,"IV",
        IF(#REF!*E927&gt;1000,"III",
            IF(#REF!*E927&gt;200,"II",
                IF(#REF!*E927&gt;50,"I","")
            )
        )
    ),
    IF(ISERROR(SEARCH("valvola di sicurezza",A927))=FALSE,"IV","")
)</f>
        <v>IV</v>
      </c>
    </row>
    <row r="928" spans="1:7" x14ac:dyDescent="0.3">
      <c r="A928" t="s">
        <v>70</v>
      </c>
      <c r="B928" t="s">
        <v>825</v>
      </c>
      <c r="C928" s="2" t="s">
        <v>835</v>
      </c>
      <c r="D928" s="1">
        <v>17767</v>
      </c>
      <c r="E928" s="1">
        <v>11</v>
      </c>
      <c r="F928" s="4" t="s">
        <v>34</v>
      </c>
      <c r="G928" s="1" t="str">
        <f>IF(OR(ISERROR(SEARCH("recipiente",A928))=FALSE, ISERROR(SEARCH("serbatoio",A928))=FALSE, ISERROR(SEARCH("scambiatore",A928))=FALSE),
    IF(#REF!*E928&gt;3000,"IV",
        IF(#REF!*E928&gt;1000,"III",
            IF(#REF!*E928&gt;200,"II",
                IF(#REF!*E928&gt;50,"I","")
            )
        )
    ),
    IF(ISERROR(SEARCH("valvola di sicurezza",A928))=FALSE,"IV","")
)</f>
        <v>IV</v>
      </c>
    </row>
    <row r="929" spans="1:7" x14ac:dyDescent="0.3">
      <c r="A929" t="s">
        <v>70</v>
      </c>
      <c r="B929" t="s">
        <v>825</v>
      </c>
      <c r="C929" s="2" t="s">
        <v>836</v>
      </c>
      <c r="D929" s="1">
        <v>19184</v>
      </c>
      <c r="E929" s="1">
        <v>12</v>
      </c>
      <c r="F929" s="4" t="s">
        <v>34</v>
      </c>
      <c r="G929" s="1" t="str">
        <f>IF(OR(ISERROR(SEARCH("recipiente",A929))=FALSE, ISERROR(SEARCH("serbatoio",A929))=FALSE, ISERROR(SEARCH("scambiatore",A929))=FALSE),
    IF(#REF!*E929&gt;3000,"IV",
        IF(#REF!*E929&gt;1000,"III",
            IF(#REF!*E929&gt;200,"II",
                IF(#REF!*E929&gt;50,"I","")
            )
        )
    ),
    IF(ISERROR(SEARCH("valvola di sicurezza",A929))=FALSE,"IV","")
)</f>
        <v>IV</v>
      </c>
    </row>
    <row r="930" spans="1:7" x14ac:dyDescent="0.3">
      <c r="A930" t="s">
        <v>70</v>
      </c>
      <c r="B930" t="s">
        <v>825</v>
      </c>
      <c r="C930" s="2" t="s">
        <v>837</v>
      </c>
      <c r="D930" s="1">
        <v>24851</v>
      </c>
      <c r="E930" s="1">
        <v>16</v>
      </c>
      <c r="F930" s="4" t="s">
        <v>73</v>
      </c>
      <c r="G930" s="1" t="str">
        <f>IF(OR(ISERROR(SEARCH("recipiente",A930))=FALSE, ISERROR(SEARCH("serbatoio",A930))=FALSE, ISERROR(SEARCH("scambiatore",A930))=FALSE),
    IF(#REF!*E930&gt;3000,"IV",
        IF(#REF!*E930&gt;1000,"III",
            IF(#REF!*E930&gt;200,"II",
                IF(#REF!*E930&gt;50,"I","")
            )
        )
    ),
    IF(ISERROR(SEARCH("valvola di sicurezza",A930))=FALSE,"IV","")
)</f>
        <v>IV</v>
      </c>
    </row>
    <row r="931" spans="1:7" x14ac:dyDescent="0.3">
      <c r="A931" t="s">
        <v>70</v>
      </c>
      <c r="B931" t="s">
        <v>825</v>
      </c>
      <c r="C931" s="2" t="s">
        <v>838</v>
      </c>
      <c r="D931" s="1">
        <v>13518</v>
      </c>
      <c r="E931" s="1">
        <v>8</v>
      </c>
      <c r="F931" s="4" t="s">
        <v>34</v>
      </c>
      <c r="G931" s="1" t="str">
        <f>IF(OR(ISERROR(SEARCH("recipiente",A931))=FALSE, ISERROR(SEARCH("serbatoio",A931))=FALSE, ISERROR(SEARCH("scambiatore",A931))=FALSE),
    IF(#REF!*E931&gt;3000,"IV",
        IF(#REF!*E931&gt;1000,"III",
            IF(#REF!*E931&gt;200,"II",
                IF(#REF!*E931&gt;50,"I","")
            )
        )
    ),
    IF(ISERROR(SEARCH("valvola di sicurezza",A931))=FALSE,"IV","")
)</f>
        <v>IV</v>
      </c>
    </row>
    <row r="932" spans="1:7" x14ac:dyDescent="0.3">
      <c r="A932" t="s">
        <v>70</v>
      </c>
      <c r="B932" t="s">
        <v>825</v>
      </c>
      <c r="C932" s="2" t="s">
        <v>839</v>
      </c>
      <c r="D932" s="1">
        <v>15500</v>
      </c>
      <c r="E932" s="1">
        <v>9.4</v>
      </c>
      <c r="F932" s="4" t="s">
        <v>34</v>
      </c>
      <c r="G932" s="1" t="str">
        <f>IF(OR(ISERROR(SEARCH("recipiente",A932))=FALSE, ISERROR(SEARCH("serbatoio",A932))=FALSE, ISERROR(SEARCH("scambiatore",A932))=FALSE),
    IF(#REF!*E932&gt;3000,"IV",
        IF(#REF!*E932&gt;1000,"III",
            IF(#REF!*E932&gt;200,"II",
                IF(#REF!*E932&gt;50,"I","")
            )
        )
    ),
    IF(ISERROR(SEARCH("valvola di sicurezza",A932))=FALSE,"IV","")
)</f>
        <v>IV</v>
      </c>
    </row>
    <row r="933" spans="1:7" x14ac:dyDescent="0.3">
      <c r="A933" t="s">
        <v>70</v>
      </c>
      <c r="B933" t="s">
        <v>825</v>
      </c>
      <c r="C933" s="2" t="s">
        <v>840</v>
      </c>
      <c r="D933" s="1">
        <v>22017</v>
      </c>
      <c r="E933" s="1">
        <v>14</v>
      </c>
      <c r="F933" s="4" t="s">
        <v>34</v>
      </c>
      <c r="G933" s="1" t="str">
        <f>IF(OR(ISERROR(SEARCH("recipiente",A933))=FALSE, ISERROR(SEARCH("serbatoio",A933))=FALSE, ISERROR(SEARCH("scambiatore",A933))=FALSE),
    IF(#REF!*E933&gt;3000,"IV",
        IF(#REF!*E933&gt;1000,"III",
            IF(#REF!*E933&gt;200,"II",
                IF(#REF!*E933&gt;50,"I","")
            )
        )
    ),
    IF(ISERROR(SEARCH("valvola di sicurezza",A933))=FALSE,"IV","")
)</f>
        <v>IV</v>
      </c>
    </row>
    <row r="934" spans="1:7" x14ac:dyDescent="0.3">
      <c r="A934" t="s">
        <v>70</v>
      </c>
      <c r="B934" t="s">
        <v>825</v>
      </c>
      <c r="C934" s="2" t="s">
        <v>841</v>
      </c>
      <c r="D934" s="1">
        <v>30181</v>
      </c>
      <c r="E934" s="1">
        <v>10</v>
      </c>
      <c r="F934" s="4" t="s">
        <v>34</v>
      </c>
      <c r="G934" s="1" t="str">
        <f>IF(OR(ISERROR(SEARCH("recipiente",A934))=FALSE, ISERROR(SEARCH("serbatoio",A934))=FALSE, ISERROR(SEARCH("scambiatore",A934))=FALSE),
    IF(#REF!*E934&gt;3000,"IV",
        IF(#REF!*E934&gt;1000,"III",
            IF(#REF!*E934&gt;200,"II",
                IF(#REF!*E934&gt;50,"I","")
            )
        )
    ),
    IF(ISERROR(SEARCH("valvola di sicurezza",A934))=FALSE,"IV","")
)</f>
        <v>IV</v>
      </c>
    </row>
    <row r="935" spans="1:7" x14ac:dyDescent="0.3">
      <c r="A935" t="s">
        <v>70</v>
      </c>
      <c r="B935" t="s">
        <v>825</v>
      </c>
      <c r="C935" s="2" t="s">
        <v>842</v>
      </c>
      <c r="D935" s="1">
        <v>31564</v>
      </c>
      <c r="E935" s="1">
        <v>10.5</v>
      </c>
      <c r="F935" s="4" t="s">
        <v>34</v>
      </c>
      <c r="G935" s="1" t="str">
        <f>IF(OR(ISERROR(SEARCH("recipiente",A935))=FALSE, ISERROR(SEARCH("serbatoio",A935))=FALSE, ISERROR(SEARCH("scambiatore",A935))=FALSE),
    IF(#REF!*E935&gt;3000,"IV",
        IF(#REF!*E935&gt;1000,"III",
            IF(#REF!*E935&gt;200,"II",
                IF(#REF!*E935&gt;50,"I","")
            )
        )
    ),
    IF(ISERROR(SEARCH("valvola di sicurezza",A935))=FALSE,"IV","")
)</f>
        <v>IV</v>
      </c>
    </row>
    <row r="936" spans="1:7" x14ac:dyDescent="0.3">
      <c r="A936" t="s">
        <v>70</v>
      </c>
      <c r="B936" t="s">
        <v>825</v>
      </c>
      <c r="C936" s="2" t="s">
        <v>843</v>
      </c>
      <c r="D936" s="1">
        <v>32142</v>
      </c>
      <c r="E936" s="1">
        <v>10.8</v>
      </c>
      <c r="F936" s="4" t="s">
        <v>34</v>
      </c>
      <c r="G936" s="1" t="str">
        <f>IF(OR(ISERROR(SEARCH("recipiente",A936))=FALSE, ISERROR(SEARCH("serbatoio",A936))=FALSE, ISERROR(SEARCH("scambiatore",A936))=FALSE),
    IF(#REF!*E936&gt;3000,"IV",
        IF(#REF!*E936&gt;1000,"III",
            IF(#REF!*E936&gt;200,"II",
                IF(#REF!*E936&gt;50,"I","")
            )
        )
    ),
    IF(ISERROR(SEARCH("valvola di sicurezza",A936))=FALSE,"IV","")
)</f>
        <v>IV</v>
      </c>
    </row>
    <row r="937" spans="1:7" x14ac:dyDescent="0.3">
      <c r="A937" t="s">
        <v>70</v>
      </c>
      <c r="B937" t="s">
        <v>825</v>
      </c>
      <c r="C937" s="2" t="s">
        <v>844</v>
      </c>
      <c r="D937" s="1">
        <v>33333</v>
      </c>
      <c r="E937" s="1">
        <v>11.2</v>
      </c>
      <c r="F937" s="4" t="s">
        <v>34</v>
      </c>
      <c r="G937" s="1" t="str">
        <f>IF(OR(ISERROR(SEARCH("recipiente",A937))=FALSE, ISERROR(SEARCH("serbatoio",A937))=FALSE, ISERROR(SEARCH("scambiatore",A937))=FALSE),
    IF(#REF!*E937&gt;3000,"IV",
        IF(#REF!*E937&gt;1000,"III",
            IF(#REF!*E937&gt;200,"II",
                IF(#REF!*E937&gt;50,"I","")
            )
        )
    ),
    IF(ISERROR(SEARCH("valvola di sicurezza",A937))=FALSE,"IV","")
)</f>
        <v>IV</v>
      </c>
    </row>
    <row r="938" spans="1:7" x14ac:dyDescent="0.3">
      <c r="A938" t="s">
        <v>70</v>
      </c>
      <c r="B938" t="s">
        <v>825</v>
      </c>
      <c r="C938" s="2" t="s">
        <v>845</v>
      </c>
      <c r="D938" s="1">
        <v>34074</v>
      </c>
      <c r="E938" s="1">
        <v>11.44</v>
      </c>
      <c r="F938" s="4" t="s">
        <v>34</v>
      </c>
      <c r="G938" s="1" t="str">
        <f>IF(OR(ISERROR(SEARCH("recipiente",A938))=FALSE, ISERROR(SEARCH("serbatoio",A938))=FALSE, ISERROR(SEARCH("scambiatore",A938))=FALSE),
    IF(#REF!*E938&gt;3000,"IV",
        IF(#REF!*E938&gt;1000,"III",
            IF(#REF!*E938&gt;200,"II",
                IF(#REF!*E938&gt;50,"I","")
            )
        )
    ),
    IF(ISERROR(SEARCH("valvola di sicurezza",A938))=FALSE,"IV","")
)</f>
        <v>IV</v>
      </c>
    </row>
    <row r="939" spans="1:7" x14ac:dyDescent="0.3">
      <c r="A939" t="s">
        <v>70</v>
      </c>
      <c r="B939" t="s">
        <v>825</v>
      </c>
      <c r="C939" s="2" t="s">
        <v>846</v>
      </c>
      <c r="D939" s="1">
        <v>34445</v>
      </c>
      <c r="E939" s="1">
        <v>11.5</v>
      </c>
      <c r="F939" s="4" t="s">
        <v>34</v>
      </c>
      <c r="G939" s="1" t="str">
        <f>IF(OR(ISERROR(SEARCH("recipiente",A939))=FALSE, ISERROR(SEARCH("serbatoio",A939))=FALSE, ISERROR(SEARCH("scambiatore",A939))=FALSE),
    IF(#REF!*E939&gt;3000,"IV",
        IF(#REF!*E939&gt;1000,"III",
            IF(#REF!*E939&gt;200,"II",
                IF(#REF!*E939&gt;50,"I","")
            )
        )
    ),
    IF(ISERROR(SEARCH("valvola di sicurezza",A939))=FALSE,"IV","")
)</f>
        <v>IV</v>
      </c>
    </row>
    <row r="940" spans="1:7" x14ac:dyDescent="0.3">
      <c r="A940" t="s">
        <v>70</v>
      </c>
      <c r="B940" t="s">
        <v>825</v>
      </c>
      <c r="C940" s="2" t="s">
        <v>847</v>
      </c>
      <c r="D940" s="1">
        <v>32948</v>
      </c>
      <c r="E940" s="1">
        <v>11</v>
      </c>
      <c r="F940" s="4" t="s">
        <v>34</v>
      </c>
      <c r="G940" s="1" t="str">
        <f>IF(OR(ISERROR(SEARCH("recipiente",A940))=FALSE, ISERROR(SEARCH("serbatoio",A940))=FALSE, ISERROR(SEARCH("scambiatore",A940))=FALSE),
    IF(#REF!*E940&gt;3000,"IV",
        IF(#REF!*E940&gt;1000,"III",
            IF(#REF!*E940&gt;200,"II",
                IF(#REF!*E940&gt;50,"I","")
            )
        )
    ),
    IF(ISERROR(SEARCH("valvola di sicurezza",A940))=FALSE,"IV","")
)</f>
        <v>IV</v>
      </c>
    </row>
    <row r="941" spans="1:7" x14ac:dyDescent="0.3">
      <c r="A941" t="s">
        <v>70</v>
      </c>
      <c r="B941" t="s">
        <v>825</v>
      </c>
      <c r="C941" s="2" t="s">
        <v>848</v>
      </c>
      <c r="D941" s="1">
        <v>35714</v>
      </c>
      <c r="E941" s="1">
        <v>12</v>
      </c>
      <c r="F941" s="4" t="s">
        <v>34</v>
      </c>
      <c r="G941" s="1" t="str">
        <f>IF(OR(ISERROR(SEARCH("recipiente",A941))=FALSE, ISERROR(SEARCH("serbatoio",A941))=FALSE, ISERROR(SEARCH("scambiatore",A941))=FALSE),
    IF(#REF!*E941&gt;3000,"IV",
        IF(#REF!*E941&gt;1000,"III",
            IF(#REF!*E941&gt;200,"II",
                IF(#REF!*E941&gt;50,"I","")
            )
        )
    ),
    IF(ISERROR(SEARCH("valvola di sicurezza",A941))=FALSE,"IV","")
)</f>
        <v>IV</v>
      </c>
    </row>
    <row r="942" spans="1:7" x14ac:dyDescent="0.3">
      <c r="A942" t="s">
        <v>70</v>
      </c>
      <c r="B942" t="s">
        <v>825</v>
      </c>
      <c r="C942" s="2" t="s">
        <v>849</v>
      </c>
      <c r="D942" s="1">
        <v>41248</v>
      </c>
      <c r="E942" s="1">
        <v>14</v>
      </c>
      <c r="F942" s="4" t="s">
        <v>34</v>
      </c>
      <c r="G942" s="1" t="str">
        <f>IF(OR(ISERROR(SEARCH("recipiente",A942))=FALSE, ISERROR(SEARCH("serbatoio",A942))=FALSE, ISERROR(SEARCH("scambiatore",A942))=FALSE),
    IF(#REF!*E942&gt;3000,"IV",
        IF(#REF!*E942&gt;1000,"III",
            IF(#REF!*E942&gt;200,"II",
                IF(#REF!*E942&gt;50,"I","")
            )
        )
    ),
    IF(ISERROR(SEARCH("valvola di sicurezza",A942))=FALSE,"IV","")
)</f>
        <v>IV</v>
      </c>
    </row>
    <row r="943" spans="1:7" x14ac:dyDescent="0.3">
      <c r="A943" t="s">
        <v>70</v>
      </c>
      <c r="B943" t="s">
        <v>825</v>
      </c>
      <c r="C943" s="2" t="s">
        <v>850</v>
      </c>
      <c r="D943" s="1">
        <v>45481</v>
      </c>
      <c r="E943" s="1">
        <v>15.5</v>
      </c>
      <c r="F943" s="4" t="s">
        <v>34</v>
      </c>
      <c r="G943" s="1" t="str">
        <f>IF(OR(ISERROR(SEARCH("recipiente",A943))=FALSE, ISERROR(SEARCH("serbatoio",A943))=FALSE, ISERROR(SEARCH("scambiatore",A943))=FALSE),
    IF(#REF!*E943&gt;3000,"IV",
        IF(#REF!*E943&gt;1000,"III",
            IF(#REF!*E943&gt;200,"II",
                IF(#REF!*E943&gt;50,"I","")
            )
        )
    ),
    IF(ISERROR(SEARCH("valvola di sicurezza",A943))=FALSE,"IV","")
)</f>
        <v>IV</v>
      </c>
    </row>
    <row r="944" spans="1:7" x14ac:dyDescent="0.3">
      <c r="A944" t="s">
        <v>70</v>
      </c>
      <c r="B944" t="s">
        <v>825</v>
      </c>
      <c r="C944" s="2" t="s">
        <v>851</v>
      </c>
      <c r="D944" s="1">
        <v>28937</v>
      </c>
      <c r="E944" s="1">
        <v>9.5</v>
      </c>
      <c r="F944" s="4" t="s">
        <v>34</v>
      </c>
      <c r="G944" s="1" t="str">
        <f>IF(OR(ISERROR(SEARCH("recipiente",A944))=FALSE, ISERROR(SEARCH("serbatoio",A944))=FALSE, ISERROR(SEARCH("scambiatore",A944))=FALSE),
    IF(#REF!*E944&gt;3000,"IV",
        IF(#REF!*E944&gt;1000,"III",
            IF(#REF!*E944&gt;200,"II",
                IF(#REF!*E944&gt;50,"I","")
            )
        )
    ),
    IF(ISERROR(SEARCH("valvola di sicurezza",A944))=FALSE,"IV","")
)</f>
        <v>IV</v>
      </c>
    </row>
    <row r="945" spans="1:7" x14ac:dyDescent="0.3">
      <c r="A945" t="s">
        <v>70</v>
      </c>
      <c r="B945" t="s">
        <v>825</v>
      </c>
      <c r="C945" s="2" t="s">
        <v>852</v>
      </c>
      <c r="D945" s="1">
        <v>2452</v>
      </c>
      <c r="E945" s="1">
        <v>11</v>
      </c>
      <c r="F945" s="4" t="s">
        <v>12</v>
      </c>
      <c r="G945" s="1" t="str">
        <f>IF(OR(ISERROR(SEARCH("recipiente",A945))=FALSE, ISERROR(SEARCH("serbatoio",A945))=FALSE, ISERROR(SEARCH("scambiatore",A945))=FALSE),
    IF(#REF!*E945&gt;3000,"IV",
        IF(#REF!*E945&gt;1000,"III",
            IF(#REF!*E945&gt;200,"II",
                IF(#REF!*E945&gt;50,"I","")
            )
        )
    ),
    IF(ISERROR(SEARCH("valvola di sicurezza",A945))=FALSE,"IV","")
)</f>
        <v>IV</v>
      </c>
    </row>
    <row r="946" spans="1:7" x14ac:dyDescent="0.3">
      <c r="A946" t="s">
        <v>70</v>
      </c>
      <c r="B946" t="s">
        <v>825</v>
      </c>
      <c r="C946" s="2" t="s">
        <v>853</v>
      </c>
      <c r="D946" s="1">
        <v>3002</v>
      </c>
      <c r="E946" s="1">
        <v>10</v>
      </c>
      <c r="F946" s="4" t="s">
        <v>34</v>
      </c>
      <c r="G946" s="1" t="str">
        <f>IF(OR(ISERROR(SEARCH("recipiente",A946))=FALSE, ISERROR(SEARCH("serbatoio",A946))=FALSE, ISERROR(SEARCH("scambiatore",A946))=FALSE),
    IF(#REF!*E946&gt;3000,"IV",
        IF(#REF!*E946&gt;1000,"III",
            IF(#REF!*E946&gt;200,"II",
                IF(#REF!*E946&gt;50,"I","")
            )
        )
    ),
    IF(ISERROR(SEARCH("valvola di sicurezza",A946))=FALSE,"IV","")
)</f>
        <v>IV</v>
      </c>
    </row>
    <row r="947" spans="1:7" x14ac:dyDescent="0.3">
      <c r="A947" t="s">
        <v>70</v>
      </c>
      <c r="B947" t="s">
        <v>825</v>
      </c>
      <c r="C947" s="2" t="s">
        <v>854</v>
      </c>
      <c r="D947" s="1">
        <v>3274</v>
      </c>
      <c r="E947" s="1">
        <v>11</v>
      </c>
      <c r="F947" s="4" t="s">
        <v>12</v>
      </c>
      <c r="G947" s="1" t="str">
        <f>IF(OR(ISERROR(SEARCH("recipiente",A947))=FALSE, ISERROR(SEARCH("serbatoio",A947))=FALSE, ISERROR(SEARCH("scambiatore",A947))=FALSE),
    IF(#REF!*E947&gt;3000,"IV",
        IF(#REF!*E947&gt;1000,"III",
            IF(#REF!*E947&gt;200,"II",
                IF(#REF!*E947&gt;50,"I","")
            )
        )
    ),
    IF(ISERROR(SEARCH("valvola di sicurezza",A947))=FALSE,"IV","")
)</f>
        <v>IV</v>
      </c>
    </row>
    <row r="948" spans="1:7" x14ac:dyDescent="0.3">
      <c r="A948" t="s">
        <v>70</v>
      </c>
      <c r="B948" t="s">
        <v>825</v>
      </c>
      <c r="C948" s="2" t="s">
        <v>855</v>
      </c>
      <c r="D948" s="1">
        <v>4508</v>
      </c>
      <c r="E948" s="1">
        <v>12</v>
      </c>
      <c r="F948" s="4" t="s">
        <v>34</v>
      </c>
      <c r="G948" s="1" t="str">
        <f>IF(OR(ISERROR(SEARCH("recipiente",A948))=FALSE, ISERROR(SEARCH("serbatoio",A948))=FALSE, ISERROR(SEARCH("scambiatore",A948))=FALSE),
    IF(#REF!*E948&gt;3000,"IV",
        IF(#REF!*E948&gt;1000,"III",
            IF(#REF!*E948&gt;200,"II",
                IF(#REF!*E948&gt;50,"I","")
            )
        )
    ),
    IF(ISERROR(SEARCH("valvola di sicurezza",A948))=FALSE,"IV","")
)</f>
        <v>IV</v>
      </c>
    </row>
    <row r="949" spans="1:7" x14ac:dyDescent="0.3">
      <c r="A949" t="s">
        <v>70</v>
      </c>
      <c r="B949" t="s">
        <v>825</v>
      </c>
      <c r="C949" s="2" t="s">
        <v>856</v>
      </c>
      <c r="D949" s="1" t="s">
        <v>857</v>
      </c>
      <c r="E949" s="1">
        <v>13.5</v>
      </c>
      <c r="F949" s="4" t="s">
        <v>34</v>
      </c>
      <c r="G949" s="1" t="str">
        <f>IF(OR(ISERROR(SEARCH("recipiente",A949))=FALSE, ISERROR(SEARCH("serbatoio",A949))=FALSE, ISERROR(SEARCH("scambiatore",A949))=FALSE),
    IF(#REF!*E949&gt;3000,"IV",
        IF(#REF!*E949&gt;1000,"III",
            IF(#REF!*E949&gt;200,"II",
                IF(#REF!*E949&gt;50,"I","")
            )
        )
    ),
    IF(ISERROR(SEARCH("valvola di sicurezza",A949))=FALSE,"IV","")
)</f>
        <v>IV</v>
      </c>
    </row>
    <row r="950" spans="1:7" x14ac:dyDescent="0.3">
      <c r="A950" t="s">
        <v>70</v>
      </c>
      <c r="B950" t="s">
        <v>825</v>
      </c>
      <c r="C950" s="2" t="s">
        <v>858</v>
      </c>
      <c r="D950" s="1">
        <v>5201</v>
      </c>
      <c r="E950" s="1">
        <v>14</v>
      </c>
      <c r="F950" s="4" t="s">
        <v>34</v>
      </c>
      <c r="G950" s="1" t="str">
        <f>IF(OR(ISERROR(SEARCH("recipiente",A950))=FALSE, ISERROR(SEARCH("serbatoio",A950))=FALSE, ISERROR(SEARCH("scambiatore",A950))=FALSE),
    IF(#REF!*E950&gt;3000,"IV",
        IF(#REF!*E950&gt;1000,"III",
            IF(#REF!*E950&gt;200,"II",
                IF(#REF!*E950&gt;50,"I","")
            )
        )
    ),
    IF(ISERROR(SEARCH("valvola di sicurezza",A950))=FALSE,"IV","")
)</f>
        <v>IV</v>
      </c>
    </row>
    <row r="951" spans="1:7" x14ac:dyDescent="0.3">
      <c r="A951" t="s">
        <v>70</v>
      </c>
      <c r="B951" t="s">
        <v>825</v>
      </c>
      <c r="C951" s="2" t="s">
        <v>859</v>
      </c>
      <c r="D951" s="1">
        <v>7713</v>
      </c>
      <c r="E951" s="1">
        <v>10</v>
      </c>
      <c r="F951" s="4" t="s">
        <v>34</v>
      </c>
      <c r="G951" s="1" t="str">
        <f>IF(OR(ISERROR(SEARCH("recipiente",A951))=FALSE, ISERROR(SEARCH("serbatoio",A951))=FALSE, ISERROR(SEARCH("scambiatore",A951))=FALSE),
    IF(#REF!*E951&gt;3000,"IV",
        IF(#REF!*E951&gt;1000,"III",
            IF(#REF!*E951&gt;200,"II",
                IF(#REF!*E951&gt;50,"I","")
            )
        )
    ),
    IF(ISERROR(SEARCH("valvola di sicurezza",A951))=FALSE,"IV","")
)</f>
        <v>IV</v>
      </c>
    </row>
    <row r="952" spans="1:7" x14ac:dyDescent="0.3">
      <c r="A952" t="s">
        <v>70</v>
      </c>
      <c r="B952" t="s">
        <v>825</v>
      </c>
      <c r="C952" s="2" t="s">
        <v>860</v>
      </c>
      <c r="D952" s="1">
        <v>8064</v>
      </c>
      <c r="E952" s="1">
        <v>10.5</v>
      </c>
      <c r="F952" s="4" t="s">
        <v>34</v>
      </c>
      <c r="G952" s="1" t="str">
        <f>IF(OR(ISERROR(SEARCH("recipiente",A952))=FALSE, ISERROR(SEARCH("serbatoio",A952))=FALSE, ISERROR(SEARCH("scambiatore",A952))=FALSE),
    IF(#REF!*E952&gt;3000,"IV",
        IF(#REF!*E952&gt;1000,"III",
            IF(#REF!*E952&gt;200,"II",
                IF(#REF!*E952&gt;50,"I","")
            )
        )
    ),
    IF(ISERROR(SEARCH("valvola di sicurezza",A952))=FALSE,"IV","")
)</f>
        <v>IV</v>
      </c>
    </row>
    <row r="953" spans="1:7" x14ac:dyDescent="0.3">
      <c r="A953" t="s">
        <v>70</v>
      </c>
      <c r="B953" t="s">
        <v>825</v>
      </c>
      <c r="C953" s="2" t="s">
        <v>861</v>
      </c>
      <c r="D953" s="1">
        <v>8274</v>
      </c>
      <c r="E953" s="1">
        <v>10.8</v>
      </c>
      <c r="F953" s="4" t="s">
        <v>34</v>
      </c>
      <c r="G953" s="1" t="str">
        <f>IF(OR(ISERROR(SEARCH("recipiente",A953))=FALSE, ISERROR(SEARCH("serbatoio",A953))=FALSE, ISERROR(SEARCH("scambiatore",A953))=FALSE),
    IF(#REF!*E953&gt;3000,"IV",
        IF(#REF!*E953&gt;1000,"III",
            IF(#REF!*E953&gt;200,"II",
                IF(#REF!*E953&gt;50,"I","")
            )
        )
    ),
    IF(ISERROR(SEARCH("valvola di sicurezza",A953))=FALSE,"IV","")
)</f>
        <v>IV</v>
      </c>
    </row>
    <row r="954" spans="1:7" x14ac:dyDescent="0.3">
      <c r="A954" t="s">
        <v>70</v>
      </c>
      <c r="B954" t="s">
        <v>825</v>
      </c>
      <c r="C954" s="2" t="s">
        <v>862</v>
      </c>
      <c r="D954" s="1">
        <v>8696</v>
      </c>
      <c r="E954" s="1">
        <v>11.4</v>
      </c>
      <c r="F954" s="4" t="s">
        <v>34</v>
      </c>
      <c r="G954" s="1" t="str">
        <f>IF(OR(ISERROR(SEARCH("recipiente",A954))=FALSE, ISERROR(SEARCH("serbatoio",A954))=FALSE, ISERROR(SEARCH("scambiatore",A954))=FALSE),
    IF(#REF!*E954&gt;3000,"IV",
        IF(#REF!*E954&gt;1000,"III",
            IF(#REF!*E954&gt;200,"II",
                IF(#REF!*E954&gt;50,"I","")
            )
        )
    ),
    IF(ISERROR(SEARCH("valvola di sicurezza",A954))=FALSE,"IV","")
)</f>
        <v>IV</v>
      </c>
    </row>
    <row r="955" spans="1:7" x14ac:dyDescent="0.3">
      <c r="A955" t="s">
        <v>70</v>
      </c>
      <c r="B955" t="s">
        <v>825</v>
      </c>
      <c r="C955" s="2" t="s">
        <v>863</v>
      </c>
      <c r="D955" s="1">
        <v>8724</v>
      </c>
      <c r="E955" s="1">
        <v>11.44</v>
      </c>
      <c r="F955" s="4" t="s">
        <v>34</v>
      </c>
      <c r="G955" s="1" t="str">
        <f>IF(OR(ISERROR(SEARCH("recipiente",A955))=FALSE, ISERROR(SEARCH("serbatoio",A955))=FALSE, ISERROR(SEARCH("scambiatore",A955))=FALSE),
    IF(#REF!*E955&gt;3000,"IV",
        IF(#REF!*E955&gt;1000,"III",
            IF(#REF!*E955&gt;200,"II",
                IF(#REF!*E955&gt;50,"I","")
            )
        )
    ),
    IF(ISERROR(SEARCH("valvola di sicurezza",A955))=FALSE,"IV","")
)</f>
        <v>IV</v>
      </c>
    </row>
    <row r="956" spans="1:7" x14ac:dyDescent="0.3">
      <c r="A956" t="s">
        <v>70</v>
      </c>
      <c r="B956" t="s">
        <v>825</v>
      </c>
      <c r="C956" s="2" t="s">
        <v>864</v>
      </c>
      <c r="D956" s="1">
        <v>8766</v>
      </c>
      <c r="E956" s="1">
        <v>12.44</v>
      </c>
      <c r="F956" s="4" t="s">
        <v>865</v>
      </c>
      <c r="G956" s="1" t="str">
        <f>IF(OR(ISERROR(SEARCH("recipiente",A956))=FALSE, ISERROR(SEARCH("serbatoio",A956))=FALSE, ISERROR(SEARCH("scambiatore",A956))=FALSE),
    IF(#REF!*E956&gt;3000,"IV",
        IF(#REF!*E956&gt;1000,"III",
            IF(#REF!*E956&gt;200,"II",
                IF(#REF!*E956&gt;50,"I","")
            )
        )
    ),
    IF(ISERROR(SEARCH("valvola di sicurezza",A956))=FALSE,"IV","")
)</f>
        <v>IV</v>
      </c>
    </row>
    <row r="957" spans="1:7" x14ac:dyDescent="0.3">
      <c r="A957" t="s">
        <v>70</v>
      </c>
      <c r="B957" t="s">
        <v>825</v>
      </c>
      <c r="C957" s="2" t="s">
        <v>866</v>
      </c>
      <c r="D957" s="1">
        <v>8415</v>
      </c>
      <c r="E957" s="1">
        <v>11</v>
      </c>
      <c r="F957" s="4" t="s">
        <v>34</v>
      </c>
      <c r="G957" s="1" t="str">
        <f>IF(OR(ISERROR(SEARCH("recipiente",A957))=FALSE, ISERROR(SEARCH("serbatoio",A957))=FALSE, ISERROR(SEARCH("scambiatore",A957))=FALSE),
    IF(#REF!*E957&gt;3000,"IV",
        IF(#REF!*E957&gt;1000,"III",
            IF(#REF!*E957&gt;200,"II",
                IF(#REF!*E957&gt;50,"I","")
            )
        )
    ),
    IF(ISERROR(SEARCH("valvola di sicurezza",A957))=FALSE,"IV","")
)</f>
        <v>IV</v>
      </c>
    </row>
    <row r="958" spans="1:7" x14ac:dyDescent="0.3">
      <c r="A958" t="s">
        <v>70</v>
      </c>
      <c r="B958" t="s">
        <v>825</v>
      </c>
      <c r="C958" s="2" t="s">
        <v>867</v>
      </c>
      <c r="D958" s="1">
        <v>9116</v>
      </c>
      <c r="E958" s="1">
        <v>12</v>
      </c>
      <c r="F958" s="4" t="s">
        <v>34</v>
      </c>
      <c r="G958" s="1" t="str">
        <f>IF(OR(ISERROR(SEARCH("recipiente",A958))=FALSE, ISERROR(SEARCH("serbatoio",A958))=FALSE, ISERROR(SEARCH("scambiatore",A958))=FALSE),
    IF(#REF!*E958&gt;3000,"IV",
        IF(#REF!*E958&gt;1000,"III",
            IF(#REF!*E958&gt;200,"II",
                IF(#REF!*E958&gt;50,"I","")
            )
        )
    ),
    IF(ISERROR(SEARCH("valvola di sicurezza",A958))=FALSE,"IV","")
)</f>
        <v>IV</v>
      </c>
    </row>
    <row r="959" spans="1:7" x14ac:dyDescent="0.3">
      <c r="A959" t="s">
        <v>70</v>
      </c>
      <c r="B959" t="s">
        <v>825</v>
      </c>
      <c r="C959" s="2" t="s">
        <v>868</v>
      </c>
      <c r="D959" s="1">
        <v>9817</v>
      </c>
      <c r="E959" s="1">
        <v>12</v>
      </c>
      <c r="F959" s="4" t="s">
        <v>34</v>
      </c>
      <c r="G959" s="1" t="str">
        <f>IF(OR(ISERROR(SEARCH("recipiente",A959))=FALSE, ISERROR(SEARCH("serbatoio",A959))=FALSE, ISERROR(SEARCH("scambiatore",A959))=FALSE),
    IF(#REF!*E959&gt;3000,"IV",
        IF(#REF!*E959&gt;1000,"III",
            IF(#REF!*E959&gt;200,"II",
                IF(#REF!*E959&gt;50,"I","")
            )
        )
    ),
    IF(ISERROR(SEARCH("valvola di sicurezza",A959))=FALSE,"IV","")
)</f>
        <v>IV</v>
      </c>
    </row>
    <row r="960" spans="1:7" x14ac:dyDescent="0.3">
      <c r="A960" t="s">
        <v>70</v>
      </c>
      <c r="B960" t="s">
        <v>825</v>
      </c>
      <c r="C960" s="2" t="s">
        <v>869</v>
      </c>
      <c r="D960" s="1">
        <v>10518</v>
      </c>
      <c r="E960" s="1">
        <v>14</v>
      </c>
      <c r="F960" s="4" t="s">
        <v>34</v>
      </c>
      <c r="G960" s="1" t="str">
        <f>IF(OR(ISERROR(SEARCH("recipiente",A960))=FALSE, ISERROR(SEARCH("serbatoio",A960))=FALSE, ISERROR(SEARCH("scambiatore",A960))=FALSE),
    IF(#REF!*E960&gt;3000,"IV",
        IF(#REF!*E960&gt;1000,"III",
            IF(#REF!*E960&gt;200,"II",
                IF(#REF!*E960&gt;50,"I","")
            )
        )
    ),
    IF(ISERROR(SEARCH("valvola di sicurezza",A960))=FALSE,"IV","")
)</f>
        <v>IV</v>
      </c>
    </row>
    <row r="961" spans="1:7" x14ac:dyDescent="0.3">
      <c r="A961" t="s">
        <v>70</v>
      </c>
      <c r="B961" t="s">
        <v>825</v>
      </c>
      <c r="C961" s="2" t="s">
        <v>870</v>
      </c>
      <c r="D961" s="1">
        <v>10868</v>
      </c>
      <c r="E961" s="1">
        <v>14</v>
      </c>
      <c r="F961" s="4" t="s">
        <v>34</v>
      </c>
      <c r="G961" s="1" t="str">
        <f>IF(OR(ISERROR(SEARCH("recipiente",A961))=FALSE, ISERROR(SEARCH("serbatoio",A961))=FALSE, ISERROR(SEARCH("scambiatore",A961))=FALSE),
    IF(#REF!*E961&gt;3000,"IV",
        IF(#REF!*E961&gt;1000,"III",
            IF(#REF!*E961&gt;200,"II",
                IF(#REF!*E961&gt;50,"I","")
            )
        )
    ),
    IF(ISERROR(SEARCH("valvola di sicurezza",A961))=FALSE,"IV","")
)</f>
        <v>IV</v>
      </c>
    </row>
    <row r="962" spans="1:7" x14ac:dyDescent="0.3">
      <c r="A962" t="s">
        <v>70</v>
      </c>
      <c r="B962" t="s">
        <v>825</v>
      </c>
      <c r="C962" s="2" t="s">
        <v>871</v>
      </c>
      <c r="D962" s="1">
        <v>11219</v>
      </c>
      <c r="E962" s="1">
        <v>15</v>
      </c>
      <c r="F962" s="4" t="s">
        <v>34</v>
      </c>
      <c r="G962" s="1" t="str">
        <f>IF(OR(ISERROR(SEARCH("recipiente",A962))=FALSE, ISERROR(SEARCH("serbatoio",A962))=FALSE, ISERROR(SEARCH("scambiatore",A962))=FALSE),
    IF(#REF!*E962&gt;3000,"IV",
        IF(#REF!*E962&gt;1000,"III",
            IF(#REF!*E962&gt;200,"II",
                IF(#REF!*E962&gt;50,"I","")
            )
        )
    ),
    IF(ISERROR(SEARCH("valvola di sicurezza",A962))=FALSE,"IV","")
)</f>
        <v>IV</v>
      </c>
    </row>
    <row r="963" spans="1:7" x14ac:dyDescent="0.3">
      <c r="A963" t="s">
        <v>70</v>
      </c>
      <c r="B963" t="s">
        <v>825</v>
      </c>
      <c r="C963" s="2" t="s">
        <v>872</v>
      </c>
      <c r="D963" s="1">
        <v>11570</v>
      </c>
      <c r="E963" s="1">
        <v>15.5</v>
      </c>
      <c r="F963" s="4" t="s">
        <v>34</v>
      </c>
      <c r="G963" s="1" t="str">
        <f>IF(OR(ISERROR(SEARCH("recipiente",A963))=FALSE, ISERROR(SEARCH("serbatoio",A963))=FALSE, ISERROR(SEARCH("scambiatore",A963))=FALSE),
    IF(#REF!*E963&gt;3000,"IV",
        IF(#REF!*E963&gt;1000,"III",
            IF(#REF!*E963&gt;200,"II",
                IF(#REF!*E963&gt;50,"I","")
            )
        )
    ),
    IF(ISERROR(SEARCH("valvola di sicurezza",A963))=FALSE,"IV","")
)</f>
        <v>IV</v>
      </c>
    </row>
    <row r="964" spans="1:7" x14ac:dyDescent="0.3">
      <c r="A964" t="s">
        <v>70</v>
      </c>
      <c r="B964" t="s">
        <v>825</v>
      </c>
      <c r="C964" s="2" t="s">
        <v>873</v>
      </c>
      <c r="D964" s="1">
        <v>11921</v>
      </c>
      <c r="E964" s="1">
        <v>16</v>
      </c>
      <c r="F964" s="4" t="s">
        <v>34</v>
      </c>
      <c r="G964" s="1" t="str">
        <f>IF(OR(ISERROR(SEARCH("recipiente",A964))=FALSE, ISERROR(SEARCH("serbatoio",A964))=FALSE, ISERROR(SEARCH("scambiatore",A964))=FALSE),
    IF(#REF!*E964&gt;3000,"IV",
        IF(#REF!*E964&gt;1000,"III",
            IF(#REF!*E964&gt;200,"II",
                IF(#REF!*E964&gt;50,"I","")
            )
        )
    ),
    IF(ISERROR(SEARCH("valvola di sicurezza",A964))=FALSE,"IV","")
)</f>
        <v>IV</v>
      </c>
    </row>
    <row r="965" spans="1:7" x14ac:dyDescent="0.3">
      <c r="A965" t="s">
        <v>70</v>
      </c>
      <c r="B965" t="s">
        <v>825</v>
      </c>
      <c r="C965" s="2" t="s">
        <v>874</v>
      </c>
      <c r="D965" s="1">
        <v>15427</v>
      </c>
      <c r="E965" s="1">
        <v>21</v>
      </c>
      <c r="F965" s="4" t="s">
        <v>34</v>
      </c>
      <c r="G965" s="1" t="str">
        <f>IF(OR(ISERROR(SEARCH("recipiente",A965))=FALSE, ISERROR(SEARCH("serbatoio",A965))=FALSE, ISERROR(SEARCH("scambiatore",A965))=FALSE),
    IF(#REF!*E965&gt;3000,"IV",
        IF(#REF!*E965&gt;1000,"III",
            IF(#REF!*E965&gt;200,"II",
                IF(#REF!*E965&gt;50,"I","")
            )
        )
    ),
    IF(ISERROR(SEARCH("valvola di sicurezza",A965))=FALSE,"IV","")
)</f>
        <v>IV</v>
      </c>
    </row>
    <row r="966" spans="1:7" x14ac:dyDescent="0.3">
      <c r="A966" t="s">
        <v>70</v>
      </c>
      <c r="B966" t="s">
        <v>825</v>
      </c>
      <c r="C966" s="2" t="s">
        <v>875</v>
      </c>
      <c r="D966" s="1">
        <v>32257</v>
      </c>
      <c r="E966" s="1">
        <v>45</v>
      </c>
      <c r="F966" s="4" t="s">
        <v>34</v>
      </c>
      <c r="G966" s="1" t="str">
        <f>IF(OR(ISERROR(SEARCH("recipiente",A966))=FALSE, ISERROR(SEARCH("serbatoio",A966))=FALSE, ISERROR(SEARCH("scambiatore",A966))=FALSE),
    IF(#REF!*E966&gt;3000,"IV",
        IF(#REF!*E966&gt;1000,"III",
            IF(#REF!*E966&gt;200,"II",
                IF(#REF!*E966&gt;50,"I","")
            )
        )
    ),
    IF(ISERROR(SEARCH("valvola di sicurezza",A966))=FALSE,"IV","")
)</f>
        <v>IV</v>
      </c>
    </row>
    <row r="967" spans="1:7" x14ac:dyDescent="0.3">
      <c r="A967" t="s">
        <v>70</v>
      </c>
      <c r="B967" t="s">
        <v>825</v>
      </c>
      <c r="C967" s="2" t="s">
        <v>876</v>
      </c>
      <c r="D967" s="1">
        <v>4161</v>
      </c>
      <c r="E967" s="1">
        <v>11</v>
      </c>
      <c r="F967" s="3" t="s">
        <v>34</v>
      </c>
      <c r="G967" s="1" t="str">
        <f>IF(OR(ISERROR(SEARCH("recipiente",A967))=FALSE, ISERROR(SEARCH("serbatoio",A967))=FALSE, ISERROR(SEARCH("scambiatore",A967))=FALSE),
    IF(D967*E967&gt;3000,"IV",
        IF(D967*E967&gt;1000,"III",
            IF(D967*E967&gt;200,"II",
                IF(D967*E967&gt;50,"I","")
            )
        )
    ),
    IF(ISERROR(SEARCH("valvola di sicurezza",A967))=FALSE,"IV","")
)</f>
        <v>IV</v>
      </c>
    </row>
    <row r="968" spans="1:7" x14ac:dyDescent="0.3">
      <c r="A968" t="s">
        <v>70</v>
      </c>
      <c r="B968" t="s">
        <v>825</v>
      </c>
      <c r="C968" s="2" t="s">
        <v>986</v>
      </c>
      <c r="D968" s="1">
        <v>5548</v>
      </c>
      <c r="E968" s="1">
        <v>15</v>
      </c>
      <c r="F968" s="3" t="s">
        <v>34</v>
      </c>
      <c r="G968" s="1" t="str">
        <f>IF(OR(ISERROR(SEARCH("recipiente",A968))=FALSE, ISERROR(SEARCH("serbatoio",A968))=FALSE, ISERROR(SEARCH("scambiatore",A968))=FALSE),
    IF(D968*E968&gt;3000,"IV",
        IF(D968*E968&gt;1000,"III",
            IF(D968*E968&gt;200,"II",
                IF(D968*E968&gt;50,"I","")
            )
        )
    ),
    IF(ISERROR(SEARCH("valvola di sicurezza",A968))=FALSE,"IV","")
)</f>
        <v>IV</v>
      </c>
    </row>
    <row r="969" spans="1:7" x14ac:dyDescent="0.3">
      <c r="A969" t="s">
        <v>65</v>
      </c>
      <c r="B969" t="s">
        <v>877</v>
      </c>
      <c r="C969" s="2" t="s">
        <v>878</v>
      </c>
      <c r="D969" s="1">
        <v>280</v>
      </c>
      <c r="E969" s="1">
        <v>8</v>
      </c>
      <c r="F969" s="5"/>
      <c r="G969" s="1" t="str">
        <f>IF(OR(ISERROR(SEARCH("recipiente",A969))=FALSE, ISERROR(SEARCH("serbatoio",A969))=FALSE, ISERROR(SEARCH("scambiatore",A969))=FALSE),
    IF(#REF!*E969&gt;3000,"IV",
        IF(#REF!*E969&gt;1000,"III",
            IF(#REF!*E969&gt;200,"II",
                IF(#REF!*E969&gt;50,"I","")
            )
        )
    ),
    IF(ISERROR(SEARCH("valvola di sicurezza",A969))=FALSE,"IV","")
)</f>
        <v/>
      </c>
    </row>
    <row r="970" spans="1:7" x14ac:dyDescent="0.3">
      <c r="A970" t="s">
        <v>65</v>
      </c>
      <c r="B970" t="s">
        <v>877</v>
      </c>
      <c r="C970" s="2" t="s">
        <v>879</v>
      </c>
      <c r="D970" s="1">
        <v>670</v>
      </c>
      <c r="E970" s="1">
        <v>10</v>
      </c>
      <c r="F970" s="5"/>
      <c r="G970" s="1" t="str">
        <f>IF(OR(ISERROR(SEARCH("recipiente",A970))=FALSE, ISERROR(SEARCH("serbatoio",A970))=FALSE, ISERROR(SEARCH("scambiatore",A970))=FALSE),
    IF(#REF!*E970&gt;3000,"IV",
        IF(#REF!*E970&gt;1000,"III",
            IF(#REF!*E970&gt;200,"II",
                IF(#REF!*E970&gt;50,"I","")
            )
        )
    ),
    IF(ISERROR(SEARCH("valvola di sicurezza",A970))=FALSE,"IV","")
)</f>
        <v/>
      </c>
    </row>
    <row r="971" spans="1:7" x14ac:dyDescent="0.3">
      <c r="A971" t="s">
        <v>65</v>
      </c>
      <c r="B971" t="s">
        <v>877</v>
      </c>
      <c r="C971" s="2" t="s">
        <v>880</v>
      </c>
      <c r="D971" s="1">
        <v>670</v>
      </c>
      <c r="E971" s="1">
        <v>10</v>
      </c>
      <c r="F971" s="5"/>
      <c r="G971" s="1" t="str">
        <f>IF(OR(ISERROR(SEARCH("recipiente",A971))=FALSE, ISERROR(SEARCH("serbatoio",A971))=FALSE, ISERROR(SEARCH("scambiatore",A971))=FALSE),
    IF(#REF!*E971&gt;3000,"IV",
        IF(#REF!*E971&gt;1000,"III",
            IF(#REF!*E971&gt;200,"II",
                IF(#REF!*E971&gt;50,"I","")
            )
        )
    ),
    IF(ISERROR(SEARCH("valvola di sicurezza",A971))=FALSE,"IV","")
)</f>
        <v/>
      </c>
    </row>
    <row r="972" spans="1:7" x14ac:dyDescent="0.3">
      <c r="A972" t="s">
        <v>65</v>
      </c>
      <c r="B972" t="s">
        <v>877</v>
      </c>
      <c r="C972" s="2" t="s">
        <v>881</v>
      </c>
      <c r="D972" s="1">
        <v>340</v>
      </c>
      <c r="E972" s="1">
        <v>10</v>
      </c>
      <c r="F972" s="5"/>
      <c r="G972" s="1" t="str">
        <f>IF(OR(ISERROR(SEARCH("recipiente",A972))=FALSE, ISERROR(SEARCH("serbatoio",A972))=FALSE, ISERROR(SEARCH("scambiatore",A972))=FALSE),
    IF(#REF!*E972&gt;3000,"IV",
        IF(#REF!*E972&gt;1000,"III",
            IF(#REF!*E972&gt;200,"II",
                IF(#REF!*E972&gt;50,"I","")
            )
        )
    ),
    IF(ISERROR(SEARCH("valvola di sicurezza",A972))=FALSE,"IV","")
)</f>
        <v/>
      </c>
    </row>
    <row r="973" spans="1:7" x14ac:dyDescent="0.3">
      <c r="A973" t="s">
        <v>65</v>
      </c>
      <c r="B973" t="s">
        <v>877</v>
      </c>
      <c r="C973" s="2" t="s">
        <v>882</v>
      </c>
      <c r="D973" s="1">
        <v>860</v>
      </c>
      <c r="E973" s="1">
        <v>10</v>
      </c>
      <c r="F973" s="5"/>
      <c r="G973" s="1" t="str">
        <f>IF(OR(ISERROR(SEARCH("recipiente",A973))=FALSE, ISERROR(SEARCH("serbatoio",A973))=FALSE, ISERROR(SEARCH("scambiatore",A973))=FALSE),
    IF(#REF!*E973&gt;3000,"IV",
        IF(#REF!*E973&gt;1000,"III",
            IF(#REF!*E973&gt;200,"II",
                IF(#REF!*E973&gt;50,"I","")
            )
        )
    ),
    IF(ISERROR(SEARCH("valvola di sicurezza",A973))=FALSE,"IV","")
)</f>
        <v/>
      </c>
    </row>
    <row r="974" spans="1:7" x14ac:dyDescent="0.3">
      <c r="A974" t="s">
        <v>65</v>
      </c>
      <c r="B974" t="s">
        <v>877</v>
      </c>
      <c r="C974" s="2" t="s">
        <v>883</v>
      </c>
      <c r="D974" s="1">
        <v>1200</v>
      </c>
      <c r="E974" s="1">
        <v>10</v>
      </c>
      <c r="F974" s="5"/>
      <c r="G974" s="1" t="str">
        <f>IF(OR(ISERROR(SEARCH("recipiente",A974))=FALSE, ISERROR(SEARCH("serbatoio",A974))=FALSE, ISERROR(SEARCH("scambiatore",A974))=FALSE),
    IF(#REF!*E974&gt;3000,"IV",
        IF(#REF!*E974&gt;1000,"III",
            IF(#REF!*E974&gt;200,"II",
                IF(#REF!*E974&gt;50,"I","")
            )
        )
    ),
    IF(ISERROR(SEARCH("valvola di sicurezza",A974))=FALSE,"IV","")
)</f>
        <v/>
      </c>
    </row>
    <row r="975" spans="1:7" x14ac:dyDescent="0.3">
      <c r="A975" t="s">
        <v>65</v>
      </c>
      <c r="B975" t="s">
        <v>877</v>
      </c>
      <c r="C975" s="2" t="s">
        <v>884</v>
      </c>
      <c r="D975" s="1">
        <v>2000</v>
      </c>
      <c r="E975" s="1">
        <v>10</v>
      </c>
      <c r="F975" s="5"/>
      <c r="G975" s="1" t="str">
        <f>IF(OR(ISERROR(SEARCH("recipiente",A975))=FALSE, ISERROR(SEARCH("serbatoio",A975))=FALSE, ISERROR(SEARCH("scambiatore",A975))=FALSE),
    IF(#REF!*E975&gt;3000,"IV",
        IF(#REF!*E975&gt;1000,"III",
            IF(#REF!*E975&gt;200,"II",
                IF(#REF!*E975&gt;50,"I","")
            )
        )
    ),
    IF(ISERROR(SEARCH("valvola di sicurezza",A975))=FALSE,"IV","")
)</f>
        <v/>
      </c>
    </row>
    <row r="976" spans="1:7" x14ac:dyDescent="0.3">
      <c r="A976" t="s">
        <v>65</v>
      </c>
      <c r="B976" t="s">
        <v>877</v>
      </c>
      <c r="C976" s="2" t="s">
        <v>885</v>
      </c>
      <c r="D976" s="1">
        <v>340</v>
      </c>
      <c r="E976" s="1">
        <v>10</v>
      </c>
      <c r="F976" s="5"/>
      <c r="G976" s="1" t="str">
        <f>IF(OR(ISERROR(SEARCH("recipiente",A976))=FALSE, ISERROR(SEARCH("serbatoio",A976))=FALSE, ISERROR(SEARCH("scambiatore",A976))=FALSE),
    IF(#REF!*E976&gt;3000,"IV",
        IF(#REF!*E976&gt;1000,"III",
            IF(#REF!*E976&gt;200,"II",
                IF(#REF!*E976&gt;50,"I","")
            )
        )
    ),
    IF(ISERROR(SEARCH("valvola di sicurezza",A976))=FALSE,"IV","")
)</f>
        <v/>
      </c>
    </row>
    <row r="977" spans="1:7" x14ac:dyDescent="0.3">
      <c r="A977" t="s">
        <v>65</v>
      </c>
      <c r="B977" t="s">
        <v>877</v>
      </c>
      <c r="C977" s="2" t="s">
        <v>886</v>
      </c>
      <c r="D977" s="1">
        <v>340</v>
      </c>
      <c r="E977" s="1">
        <v>10</v>
      </c>
      <c r="F977" s="5"/>
      <c r="G977" s="1" t="str">
        <f>IF(OR(ISERROR(SEARCH("recipiente",A977))=FALSE, ISERROR(SEARCH("serbatoio",A977))=FALSE, ISERROR(SEARCH("scambiatore",A977))=FALSE),
    IF(#REF!*E977&gt;3000,"IV",
        IF(#REF!*E977&gt;1000,"III",
            IF(#REF!*E977&gt;200,"II",
                IF(#REF!*E977&gt;50,"I","")
            )
        )
    ),
    IF(ISERROR(SEARCH("valvola di sicurezza",A977))=FALSE,"IV","")
)</f>
        <v/>
      </c>
    </row>
    <row r="978" spans="1:7" x14ac:dyDescent="0.3">
      <c r="A978" t="s">
        <v>65</v>
      </c>
      <c r="B978" t="s">
        <v>877</v>
      </c>
      <c r="C978" s="2" t="s">
        <v>887</v>
      </c>
      <c r="D978" s="1">
        <v>539</v>
      </c>
      <c r="E978" s="1">
        <v>16</v>
      </c>
      <c r="F978" s="5"/>
      <c r="G978" s="1" t="str">
        <f>IF(OR(ISERROR(SEARCH("recipiente",A978))=FALSE, ISERROR(SEARCH("serbatoio",A978))=FALSE, ISERROR(SEARCH("scambiatore",A978))=FALSE),
    IF(#REF!*E978&gt;3000,"IV",
        IF(#REF!*E978&gt;1000,"III",
            IF(#REF!*E978&gt;200,"II",
                IF(#REF!*E978&gt;50,"I","")
            )
        )
    ),
    IF(ISERROR(SEARCH("valvola di sicurezza",A978))=FALSE,"IV","")
)</f>
        <v/>
      </c>
    </row>
    <row r="979" spans="1:7" x14ac:dyDescent="0.3">
      <c r="A979" t="s">
        <v>65</v>
      </c>
      <c r="B979" t="s">
        <v>888</v>
      </c>
      <c r="C979" s="2" t="s">
        <v>889</v>
      </c>
      <c r="D979" s="1">
        <v>12100</v>
      </c>
      <c r="E979" s="1">
        <v>8</v>
      </c>
      <c r="F979" s="5"/>
      <c r="G979" s="1" t="str">
        <f>IF(OR(ISERROR(SEARCH("recipiente",A979))=FALSE, ISERROR(SEARCH("serbatoio",A979))=FALSE, ISERROR(SEARCH("scambiatore",A979))=FALSE),
    IF(#REF!*E979&gt;3000,"IV",
        IF(#REF!*E979&gt;1000,"III",
            IF(#REF!*E979&gt;200,"II",
                IF(#REF!*E979&gt;50,"I","")
            )
        )
    ),
    IF(ISERROR(SEARCH("valvola di sicurezza",A979))=FALSE,"IV","")
)</f>
        <v/>
      </c>
    </row>
    <row r="980" spans="1:7" x14ac:dyDescent="0.3">
      <c r="A980" t="s">
        <v>65</v>
      </c>
      <c r="B980" t="s">
        <v>888</v>
      </c>
      <c r="C980" s="2" t="s">
        <v>890</v>
      </c>
      <c r="D980" s="1">
        <v>10600</v>
      </c>
      <c r="E980" s="1"/>
      <c r="F980" s="5"/>
      <c r="G980" s="1" t="str">
        <f>IF(OR(ISERROR(SEARCH("recipiente",A980))=FALSE, ISERROR(SEARCH("serbatoio",A980))=FALSE, ISERROR(SEARCH("scambiatore",A980))=FALSE),
    IF(#REF!*E980&gt;3000,"IV",
        IF(#REF!*E980&gt;1000,"III",
            IF(#REF!*E980&gt;200,"II",
                IF(#REF!*E980&gt;50,"I","")
            )
        )
    ),
    IF(ISERROR(SEARCH("valvola di sicurezza",A980))=FALSE,"IV","")
)</f>
        <v/>
      </c>
    </row>
    <row r="981" spans="1:7" x14ac:dyDescent="0.3">
      <c r="A981" t="s">
        <v>65</v>
      </c>
      <c r="B981" t="s">
        <v>888</v>
      </c>
      <c r="C981" s="2" t="s">
        <v>891</v>
      </c>
      <c r="D981" s="1">
        <v>8900</v>
      </c>
      <c r="E981" s="1"/>
      <c r="F981" s="5"/>
      <c r="G981" s="1" t="str">
        <f>IF(OR(ISERROR(SEARCH("recipiente",A981))=FALSE, ISERROR(SEARCH("serbatoio",A981))=FALSE, ISERROR(SEARCH("scambiatore",A981))=FALSE),
    IF(#REF!*E981&gt;3000,"IV",
        IF(#REF!*E981&gt;1000,"III",
            IF(#REF!*E981&gt;200,"II",
                IF(#REF!*E981&gt;50,"I","")
            )
        )
    ),
    IF(ISERROR(SEARCH("valvola di sicurezza",A981))=FALSE,"IV","")
)</f>
        <v/>
      </c>
    </row>
    <row r="982" spans="1:7" x14ac:dyDescent="0.3">
      <c r="A982" t="s">
        <v>301</v>
      </c>
      <c r="B982" t="s">
        <v>888</v>
      </c>
      <c r="C982" s="2" t="s">
        <v>892</v>
      </c>
      <c r="D982" s="1">
        <v>3700</v>
      </c>
      <c r="E982" s="1"/>
      <c r="F982" s="5">
        <v>55</v>
      </c>
      <c r="G982" s="1" t="str">
        <f>IF(OR(ISERROR(SEARCH("recipiente",A982))=FALSE, ISERROR(SEARCH("serbatoio",A982))=FALSE, ISERROR(SEARCH("scambiatore",A982))=FALSE),
    IF(#REF!*E982&gt;3000,"IV",
        IF(#REF!*E982&gt;1000,"III",
            IF(#REF!*E982&gt;200,"II",
                IF(#REF!*E982&gt;50,"I","")
            )
        )
    ),
    IF(ISERROR(SEARCH("valvola di sicurezza",A982))=FALSE,"IV","")
)</f>
        <v/>
      </c>
    </row>
    <row r="983" spans="1:7" x14ac:dyDescent="0.3">
      <c r="A983" t="s">
        <v>65</v>
      </c>
      <c r="B983" t="s">
        <v>888</v>
      </c>
      <c r="C983" s="2" t="s">
        <v>983</v>
      </c>
      <c r="D983" s="1">
        <v>400</v>
      </c>
      <c r="E983" s="1">
        <v>10</v>
      </c>
      <c r="F983" s="5"/>
      <c r="G983" s="1" t="str">
        <f>IF(OR(ISERROR(SEARCH("recipiente",A983))=FALSE, ISERROR(SEARCH("serbatoio",A983))=FALSE, ISERROR(SEARCH("scambiatore",A983))=FALSE),
    IF(D983*E983&gt;3000,"IV",
        IF(D983*E983&gt;1000,"III",
            IF(D983*E983&gt;200,"II",
                IF(D983*E983&gt;50,"I","")
            )
        )
    ),
    IF(ISERROR(SEARCH("valvola di sicurezza",A983))=FALSE,"IV","")
)</f>
        <v/>
      </c>
    </row>
    <row r="984" spans="1:7" x14ac:dyDescent="0.3">
      <c r="A984" t="s">
        <v>893</v>
      </c>
      <c r="B984" t="s">
        <v>894</v>
      </c>
      <c r="C984" s="2" t="s">
        <v>895</v>
      </c>
      <c r="D984" s="1">
        <v>58</v>
      </c>
      <c r="E984" s="1">
        <v>14</v>
      </c>
      <c r="F984" s="3" t="s">
        <v>58</v>
      </c>
      <c r="G984" s="1" t="str">
        <f>IF(OR(ISERROR(SEARCH("recipiente",A984))=FALSE, ISERROR(SEARCH("serbatoio",A984))=FALSE, ISERROR(SEARCH("scambiatore",A984))=FALSE),
    IF(D984*E984&gt;3000,"IV",
        IF(D984*E984&gt;1000,"III",
            IF(D984*E984&gt;200,"II",
                IF(D984*E984&gt;50,"I","")
            )
        )
    ),
    IF(ISERROR(SEARCH("valvola di sicurezza",A984))=FALSE,"IV","")
)</f>
        <v>II</v>
      </c>
    </row>
    <row r="985" spans="1:7" x14ac:dyDescent="0.3">
      <c r="A985" t="s">
        <v>893</v>
      </c>
      <c r="B985" t="s">
        <v>894</v>
      </c>
      <c r="C985" s="2" t="s">
        <v>896</v>
      </c>
      <c r="D985" s="1">
        <v>37</v>
      </c>
      <c r="E985" s="1">
        <v>14</v>
      </c>
      <c r="F985" s="3" t="s">
        <v>58</v>
      </c>
      <c r="G985" s="1" t="str">
        <f>IF(OR(ISERROR(SEARCH("recipiente",A985))=FALSE, ISERROR(SEARCH("serbatoio",A985))=FALSE, ISERROR(SEARCH("scambiatore",A985))=FALSE),
    IF(D985*E985&gt;3000,"IV",
        IF(D985*E985&gt;1000,"III",
            IF(D985*E985&gt;200,"II",
                IF(D985*E985&gt;50,"I","")
            )
        )
    ),
    IF(ISERROR(SEARCH("valvola di sicurezza",A985))=FALSE,"IV","")
)</f>
        <v>II</v>
      </c>
    </row>
    <row r="986" spans="1:7" x14ac:dyDescent="0.3">
      <c r="A986" t="s">
        <v>893</v>
      </c>
      <c r="B986" t="s">
        <v>894</v>
      </c>
      <c r="C986" s="2" t="s">
        <v>897</v>
      </c>
      <c r="D986" s="1">
        <v>28</v>
      </c>
      <c r="E986" s="1">
        <v>14</v>
      </c>
      <c r="F986" s="3" t="s">
        <v>58</v>
      </c>
      <c r="G986" s="1" t="str">
        <f>IF(OR(ISERROR(SEARCH("recipiente",A986))=FALSE, ISERROR(SEARCH("serbatoio",A986))=FALSE, ISERROR(SEARCH("scambiatore",A986))=FALSE),
    IF(D986*E986&gt;3000,"IV",
        IF(D986*E986&gt;1000,"III",
            IF(D986*E986&gt;200,"II",
                IF(D986*E986&gt;50,"I","")
            )
        )
    ),
    IF(ISERROR(SEARCH("valvola di sicurezza",A986))=FALSE,"IV","")
)</f>
        <v>II</v>
      </c>
    </row>
    <row r="987" spans="1:7" x14ac:dyDescent="0.3">
      <c r="A987" t="s">
        <v>893</v>
      </c>
      <c r="B987" t="s">
        <v>894</v>
      </c>
      <c r="C987" s="2" t="s">
        <v>898</v>
      </c>
      <c r="D987" s="1">
        <v>71.400000000000006</v>
      </c>
      <c r="E987" s="1">
        <v>14</v>
      </c>
      <c r="F987" s="3" t="s">
        <v>58</v>
      </c>
      <c r="G987" s="1" t="str">
        <f>IF(OR(ISERROR(SEARCH("recipiente",A987))=FALSE, ISERROR(SEARCH("serbatoio",A987))=FALSE, ISERROR(SEARCH("scambiatore",A987))=FALSE),
    IF(D987*E987&gt;3000,"IV",
        IF(D987*E987&gt;1000,"III",
            IF(D987*E987&gt;200,"II",
                IF(D987*E987&gt;50,"I","")
            )
        )
    ),
    IF(ISERROR(SEARCH("valvola di sicurezza",A987))=FALSE,"IV","")
)</f>
        <v>II</v>
      </c>
    </row>
    <row r="988" spans="1:7" x14ac:dyDescent="0.3">
      <c r="A988" t="s">
        <v>893</v>
      </c>
      <c r="B988" t="s">
        <v>894</v>
      </c>
      <c r="C988" s="2" t="s">
        <v>899</v>
      </c>
      <c r="D988" s="1">
        <v>58</v>
      </c>
      <c r="E988" s="1">
        <v>14</v>
      </c>
      <c r="F988" s="3" t="s">
        <v>58</v>
      </c>
      <c r="G988" s="1" t="str">
        <f>IF(OR(ISERROR(SEARCH("recipiente",A988))=FALSE, ISERROR(SEARCH("serbatoio",A988))=FALSE, ISERROR(SEARCH("scambiatore",A988))=FALSE),
    IF(D988*E988&gt;3000,"IV",
        IF(D988*E988&gt;1000,"III",
            IF(D988*E988&gt;200,"II",
                IF(D988*E988&gt;50,"I","")
            )
        )
    ),
    IF(ISERROR(SEARCH("valvola di sicurezza",A988))=FALSE,"IV","")
)</f>
        <v>II</v>
      </c>
    </row>
    <row r="989" spans="1:7" x14ac:dyDescent="0.3">
      <c r="A989" t="s">
        <v>893</v>
      </c>
      <c r="B989" t="s">
        <v>894</v>
      </c>
      <c r="C989" s="2" t="s">
        <v>1000</v>
      </c>
      <c r="D989" s="1">
        <v>32.5</v>
      </c>
      <c r="E989" s="1">
        <v>16</v>
      </c>
      <c r="F989" s="3" t="s">
        <v>1001</v>
      </c>
      <c r="G989" s="1" t="str">
        <f>IF(OR(ISERROR(SEARCH("recipiente",A989))=FALSE, ISERROR(SEARCH("serbatoio",A989))=FALSE, ISERROR(SEARCH("scambiatore",A989))=FALSE),
    IF(D989*E989&gt;3000,"IV",
        IF(D989*E989&gt;1000,"III",
            IF(D989*E989&gt;200,"II",
                IF(D989*E989&gt;50,"I","")
            )
        )
    ),
    IF(ISERROR(SEARCH("valvola di sicurezza",A989))=FALSE,"IV","")
)</f>
        <v>II</v>
      </c>
    </row>
    <row r="990" spans="1:7" x14ac:dyDescent="0.3">
      <c r="A990" t="s">
        <v>62</v>
      </c>
      <c r="B990" t="s">
        <v>900</v>
      </c>
      <c r="C990" s="2" t="s">
        <v>901</v>
      </c>
      <c r="D990" s="1">
        <v>270</v>
      </c>
      <c r="E990" s="1">
        <v>11</v>
      </c>
      <c r="F990" s="3" t="s">
        <v>10</v>
      </c>
      <c r="G990" s="1" t="str">
        <f>IF(OR(ISERROR(SEARCH("recipiente",A990))=FALSE, ISERROR(SEARCH("serbatoio",A990))=FALSE, ISERROR(SEARCH("scambiatore",A990))=FALSE),
    IF(D990*E990&gt;3000,"IV",
        IF(D990*E990&gt;1000,"III",
            IF(D990*E990&gt;200,"II",
                IF(D990*E990&gt;50,"I","")
            )
        )
    ),
    IF(ISERROR(SEARCH("valvola di sicurezza",A990))=FALSE,"IV","")
)</f>
        <v>III</v>
      </c>
    </row>
    <row r="991" spans="1:7" x14ac:dyDescent="0.3">
      <c r="A991" t="s">
        <v>7</v>
      </c>
      <c r="B991" t="s">
        <v>900</v>
      </c>
      <c r="C991" s="2" t="s">
        <v>1004</v>
      </c>
      <c r="D991" s="1">
        <v>100</v>
      </c>
      <c r="E991" s="1">
        <v>11</v>
      </c>
      <c r="F991" s="3" t="s">
        <v>10</v>
      </c>
      <c r="G991" s="1" t="str">
        <f>IF(OR(ISERROR(SEARCH("recipiente",A991))=FALSE, ISERROR(SEARCH("serbatoio",A991))=FALSE, ISERROR(SEARCH("scambiatore",A991))=FALSE),
    IF(D991*E991&gt;3000,"IV",
        IF(D991*E991&gt;1000,"III",
            IF(D991*E991&gt;200,"II",
                IF(D991*E991&gt;50,"I","")
            )
        )
    ),
    IF(ISERROR(SEARCH("valvola di sicurezza",A991))=FALSE,"IV","")
)</f>
        <v>III</v>
      </c>
    </row>
    <row r="992" spans="1:7" x14ac:dyDescent="0.3">
      <c r="A992" t="s">
        <v>7</v>
      </c>
      <c r="B992" t="s">
        <v>902</v>
      </c>
      <c r="C992" s="2" t="s">
        <v>9</v>
      </c>
      <c r="D992" s="1">
        <v>215</v>
      </c>
      <c r="E992" s="1">
        <v>11.5</v>
      </c>
      <c r="F992" s="3" t="s">
        <v>10</v>
      </c>
      <c r="G992" s="1" t="str">
        <f>IF(OR(ISERROR(SEARCH("recipiente",A992))=FALSE, ISERROR(SEARCH("serbatoio",A992))=FALSE, ISERROR(SEARCH("scambiatore",A992))=FALSE),
    IF(D992*E992&gt;3000,"IV",
        IF(D992*E992&gt;1000,"III",
            IF(D992*E992&gt;200,"II",
                IF(D992*E992&gt;50,"I","")
            )
        )
    ),
    IF(ISERROR(SEARCH("valvola di sicurezza",A992))=FALSE,"IV","")
)</f>
        <v>III</v>
      </c>
    </row>
    <row r="993" spans="1:7" x14ac:dyDescent="0.3">
      <c r="A993" t="s">
        <v>7</v>
      </c>
      <c r="B993" t="s">
        <v>902</v>
      </c>
      <c r="C993" s="2" t="s">
        <v>11</v>
      </c>
      <c r="D993" s="1">
        <v>350</v>
      </c>
      <c r="E993" s="1">
        <v>11.5</v>
      </c>
      <c r="F993" s="3" t="s">
        <v>12</v>
      </c>
      <c r="G993" s="1" t="str">
        <f>IF(OR(ISERROR(SEARCH("recipiente",A993))=FALSE, ISERROR(SEARCH("serbatoio",A993))=FALSE, ISERROR(SEARCH("scambiatore",A993))=FALSE),
    IF(D993*E993&gt;3000,"IV",
        IF(D993*E993&gt;1000,"III",
            IF(D993*E993&gt;200,"II",
                IF(D993*E993&gt;50,"I","")
            )
        )
    ),
    IF(ISERROR(SEARCH("valvola di sicurezza",A993))=FALSE,"IV","")
)</f>
        <v>IV</v>
      </c>
    </row>
    <row r="994" spans="1:7" x14ac:dyDescent="0.3">
      <c r="A994" t="s">
        <v>7</v>
      </c>
      <c r="B994" t="s">
        <v>902</v>
      </c>
      <c r="C994" s="2" t="s">
        <v>13</v>
      </c>
      <c r="D994" s="1">
        <v>500</v>
      </c>
      <c r="E994" s="1">
        <v>11</v>
      </c>
      <c r="F994" s="3" t="s">
        <v>10</v>
      </c>
      <c r="G994" s="1" t="str">
        <f>IF(OR(ISERROR(SEARCH("recipiente",A994))=FALSE, ISERROR(SEARCH("serbatoio",A994))=FALSE, ISERROR(SEARCH("scambiatore",A994))=FALSE),
    IF(D994*E994&gt;3000,"IV",
        IF(D994*E994&gt;1000,"III",
            IF(D994*E994&gt;200,"II",
                IF(D994*E994&gt;50,"I","")
            )
        )
    ),
    IF(ISERROR(SEARCH("valvola di sicurezza",A994))=FALSE,"IV","")
)</f>
        <v>IV</v>
      </c>
    </row>
    <row r="995" spans="1:7" x14ac:dyDescent="0.3">
      <c r="A995" t="s">
        <v>7</v>
      </c>
      <c r="B995" t="s">
        <v>902</v>
      </c>
      <c r="C995" s="2" t="s">
        <v>14</v>
      </c>
      <c r="D995" s="1">
        <v>720</v>
      </c>
      <c r="E995" s="1">
        <v>11</v>
      </c>
      <c r="F995" s="3" t="s">
        <v>10</v>
      </c>
      <c r="G995" s="1" t="str">
        <f>IF(OR(ISERROR(SEARCH("recipiente",A995))=FALSE, ISERROR(SEARCH("serbatoio",A995))=FALSE, ISERROR(SEARCH("scambiatore",A995))=FALSE),
    IF(D995*E995&gt;3000,"IV",
        IF(D995*E995&gt;1000,"III",
            IF(D995*E995&gt;200,"II",
                IF(D995*E995&gt;50,"I","")
            )
        )
    ),
    IF(ISERROR(SEARCH("valvola di sicurezza",A995))=FALSE,"IV","")
)</f>
        <v>IV</v>
      </c>
    </row>
    <row r="996" spans="1:7" x14ac:dyDescent="0.3">
      <c r="A996" t="s">
        <v>7</v>
      </c>
      <c r="B996" t="s">
        <v>902</v>
      </c>
      <c r="C996" s="2" t="s">
        <v>15</v>
      </c>
      <c r="D996" s="1">
        <v>500</v>
      </c>
      <c r="E996" s="1">
        <v>11</v>
      </c>
      <c r="F996" s="3" t="s">
        <v>10</v>
      </c>
      <c r="G996" s="1" t="str">
        <f>IF(OR(ISERROR(SEARCH("recipiente",A996))=FALSE, ISERROR(SEARCH("serbatoio",A996))=FALSE, ISERROR(SEARCH("scambiatore",A996))=FALSE),
    IF(D996*E996&gt;3000,"IV",
        IF(D996*E996&gt;1000,"III",
            IF(D996*E996&gt;200,"II",
                IF(D996*E996&gt;50,"I","")
            )
        )
    ),
    IF(ISERROR(SEARCH("valvola di sicurezza",A996))=FALSE,"IV","")
)</f>
        <v>IV</v>
      </c>
    </row>
    <row r="997" spans="1:7" x14ac:dyDescent="0.3">
      <c r="A997" t="s">
        <v>7</v>
      </c>
      <c r="B997" t="s">
        <v>902</v>
      </c>
      <c r="C997" s="2" t="s">
        <v>16</v>
      </c>
      <c r="D997" s="1">
        <v>500</v>
      </c>
      <c r="E997" s="1">
        <v>11</v>
      </c>
      <c r="F997" s="3" t="s">
        <v>10</v>
      </c>
      <c r="G997" s="1" t="str">
        <f>IF(OR(ISERROR(SEARCH("recipiente",A997))=FALSE, ISERROR(SEARCH("serbatoio",A997))=FALSE, ISERROR(SEARCH("scambiatore",A997))=FALSE),
    IF(D997*E997&gt;3000,"IV",
        IF(D997*E997&gt;1000,"III",
            IF(D997*E997&gt;200,"II",
                IF(D997*E997&gt;50,"I","")
            )
        )
    ),
    IF(ISERROR(SEARCH("valvola di sicurezza",A997))=FALSE,"IV","")
)</f>
        <v>IV</v>
      </c>
    </row>
    <row r="998" spans="1:7" x14ac:dyDescent="0.3">
      <c r="A998" t="s">
        <v>7</v>
      </c>
      <c r="B998" t="s">
        <v>902</v>
      </c>
      <c r="C998" s="2" t="s">
        <v>17</v>
      </c>
      <c r="D998" s="1">
        <v>10000</v>
      </c>
      <c r="E998" s="1">
        <v>16</v>
      </c>
      <c r="F998" s="3" t="s">
        <v>18</v>
      </c>
      <c r="G998" s="1" t="str">
        <f>IF(OR(ISERROR(SEARCH("recipiente",A998))=FALSE, ISERROR(SEARCH("serbatoio",A998))=FALSE, ISERROR(SEARCH("scambiatore",A998))=FALSE),
    IF(D998*E998&gt;3000,"IV",
        IF(D998*E998&gt;1000,"III",
            IF(D998*E998&gt;200,"II",
                IF(D998*E998&gt;50,"I","")
            )
        )
    ),
    IF(ISERROR(SEARCH("valvola di sicurezza",A998))=FALSE,"IV","")
)</f>
        <v>IV</v>
      </c>
    </row>
    <row r="999" spans="1:7" x14ac:dyDescent="0.3">
      <c r="A999" t="s">
        <v>7</v>
      </c>
      <c r="B999" t="s">
        <v>902</v>
      </c>
      <c r="C999" s="2" t="s">
        <v>19</v>
      </c>
      <c r="D999" s="1">
        <v>90</v>
      </c>
      <c r="E999" s="1">
        <v>11</v>
      </c>
      <c r="F999" s="3" t="s">
        <v>20</v>
      </c>
      <c r="G999" s="1" t="str">
        <f>IF(OR(ISERROR(SEARCH("recipiente",A999))=FALSE, ISERROR(SEARCH("serbatoio",A999))=FALSE, ISERROR(SEARCH("scambiatore",A999))=FALSE),
    IF(D999*E999&gt;3000,"IV",
        IF(D999*E999&gt;1000,"III",
            IF(D999*E999&gt;200,"II",
                IF(D999*E999&gt;50,"I","")
            )
        )
    ),
    IF(ISERROR(SEARCH("valvola di sicurezza",A999))=FALSE,"IV","")
)</f>
        <v>II</v>
      </c>
    </row>
    <row r="1000" spans="1:7" x14ac:dyDescent="0.3">
      <c r="A1000" t="s">
        <v>7</v>
      </c>
      <c r="B1000" t="s">
        <v>902</v>
      </c>
      <c r="C1000" s="2" t="s">
        <v>21</v>
      </c>
      <c r="D1000" s="1">
        <v>100</v>
      </c>
      <c r="E1000" s="1">
        <v>11</v>
      </c>
      <c r="F1000" s="3" t="s">
        <v>20</v>
      </c>
      <c r="G1000" s="1" t="str">
        <f>IF(OR(ISERROR(SEARCH("recipiente",A1000))=FALSE, ISERROR(SEARCH("serbatoio",A1000))=FALSE, ISERROR(SEARCH("scambiatore",A1000))=FALSE),
    IF(D1000*E1000&gt;3000,"IV",
        IF(D1000*E1000&gt;1000,"III",
            IF(D1000*E1000&gt;200,"II",
                IF(D1000*E1000&gt;50,"I","")
            )
        )
    ),
    IF(ISERROR(SEARCH("valvola di sicurezza",A1000))=FALSE,"IV","")
)</f>
        <v>III</v>
      </c>
    </row>
    <row r="1001" spans="1:7" x14ac:dyDescent="0.3">
      <c r="A1001" t="s">
        <v>7</v>
      </c>
      <c r="B1001" t="s">
        <v>902</v>
      </c>
      <c r="C1001" s="2" t="s">
        <v>22</v>
      </c>
      <c r="D1001" s="1">
        <v>100</v>
      </c>
      <c r="E1001" s="1">
        <v>11</v>
      </c>
      <c r="F1001" s="3" t="s">
        <v>20</v>
      </c>
      <c r="G1001" s="1" t="str">
        <f>IF(OR(ISERROR(SEARCH("recipiente",A1001))=FALSE, ISERROR(SEARCH("serbatoio",A1001))=FALSE, ISERROR(SEARCH("scambiatore",A1001))=FALSE),
    IF(D1001*E1001&gt;3000,"IV",
        IF(D1001*E1001&gt;1000,"III",
            IF(D1001*E1001&gt;200,"II",
                IF(D1001*E1001&gt;50,"I","")
            )
        )
    ),
    IF(ISERROR(SEARCH("valvola di sicurezza",A1001))=FALSE,"IV","")
)</f>
        <v>III</v>
      </c>
    </row>
    <row r="1002" spans="1:7" x14ac:dyDescent="0.3">
      <c r="A1002" t="s">
        <v>7</v>
      </c>
      <c r="B1002" t="s">
        <v>902</v>
      </c>
      <c r="C1002" s="2" t="s">
        <v>23</v>
      </c>
      <c r="D1002" s="1">
        <v>720</v>
      </c>
      <c r="E1002" s="1">
        <v>11</v>
      </c>
      <c r="F1002" s="3" t="s">
        <v>10</v>
      </c>
      <c r="G1002" s="1" t="str">
        <f>IF(OR(ISERROR(SEARCH("recipiente",A1002))=FALSE, ISERROR(SEARCH("serbatoio",A1002))=FALSE, ISERROR(SEARCH("scambiatore",A1002))=FALSE),
    IF(D1002*E1002&gt;3000,"IV",
        IF(D1002*E1002&gt;1000,"III",
            IF(D1002*E1002&gt;200,"II",
                IF(D1002*E1002&gt;50,"I","")
            )
        )
    ),
    IF(ISERROR(SEARCH("valvola di sicurezza",A1002))=FALSE,"IV","")
)</f>
        <v>IV</v>
      </c>
    </row>
    <row r="1003" spans="1:7" x14ac:dyDescent="0.3">
      <c r="A1003" t="s">
        <v>7</v>
      </c>
      <c r="B1003" t="s">
        <v>902</v>
      </c>
      <c r="C1003" s="2" t="s">
        <v>24</v>
      </c>
      <c r="D1003" s="1">
        <v>200</v>
      </c>
      <c r="E1003" s="1">
        <v>11</v>
      </c>
      <c r="F1003" s="3" t="s">
        <v>10</v>
      </c>
      <c r="G1003" s="1" t="str">
        <f>IF(OR(ISERROR(SEARCH("recipiente",A1003))=FALSE, ISERROR(SEARCH("serbatoio",A1003))=FALSE, ISERROR(SEARCH("scambiatore",A1003))=FALSE),
    IF(D1003*E1003&gt;3000,"IV",
        IF(D1003*E1003&gt;1000,"III",
            IF(D1003*E1003&gt;200,"II",
                IF(D1003*E1003&gt;50,"I","")
            )
        )
    ),
    IF(ISERROR(SEARCH("valvola di sicurezza",A1003))=FALSE,"IV","")
)</f>
        <v>III</v>
      </c>
    </row>
    <row r="1004" spans="1:7" x14ac:dyDescent="0.3">
      <c r="A1004" t="s">
        <v>7</v>
      </c>
      <c r="B1004" t="s">
        <v>902</v>
      </c>
      <c r="C1004" s="2" t="s">
        <v>25</v>
      </c>
      <c r="D1004" s="1">
        <v>200</v>
      </c>
      <c r="E1004" s="1">
        <v>11</v>
      </c>
      <c r="F1004" s="3" t="s">
        <v>10</v>
      </c>
      <c r="G1004" s="1" t="str">
        <f>IF(OR(ISERROR(SEARCH("recipiente",A1004))=FALSE, ISERROR(SEARCH("serbatoio",A1004))=FALSE, ISERROR(SEARCH("scambiatore",A1004))=FALSE),
    IF(D1004*E1004&gt;3000,"IV",
        IF(D1004*E1004&gt;1000,"III",
            IF(D1004*E1004&gt;200,"II",
                IF(D1004*E1004&gt;50,"I","")
            )
        )
    ),
    IF(ISERROR(SEARCH("valvola di sicurezza",A1004))=FALSE,"IV","")
)</f>
        <v>III</v>
      </c>
    </row>
    <row r="1005" spans="1:7" x14ac:dyDescent="0.3">
      <c r="A1005" t="s">
        <v>7</v>
      </c>
      <c r="B1005" t="s">
        <v>902</v>
      </c>
      <c r="C1005" s="2" t="s">
        <v>26</v>
      </c>
      <c r="D1005" s="1">
        <v>200</v>
      </c>
      <c r="E1005" s="1">
        <v>11</v>
      </c>
      <c r="F1005" s="3" t="s">
        <v>10</v>
      </c>
      <c r="G1005" s="1" t="str">
        <f>IF(OR(ISERROR(SEARCH("recipiente",A1005))=FALSE, ISERROR(SEARCH("serbatoio",A1005))=FALSE, ISERROR(SEARCH("scambiatore",A1005))=FALSE),
    IF(D1005*E1005&gt;3000,"IV",
        IF(D1005*E1005&gt;1000,"III",
            IF(D1005*E1005&gt;200,"II",
                IF(D1005*E1005&gt;50,"I","")
            )
        )
    ),
    IF(ISERROR(SEARCH("valvola di sicurezza",A1005))=FALSE,"IV","")
)</f>
        <v>III</v>
      </c>
    </row>
    <row r="1006" spans="1:7" x14ac:dyDescent="0.3">
      <c r="A1006" t="s">
        <v>7</v>
      </c>
      <c r="B1006" t="s">
        <v>902</v>
      </c>
      <c r="C1006" s="2" t="s">
        <v>27</v>
      </c>
      <c r="D1006" s="1">
        <v>270</v>
      </c>
      <c r="E1006" s="1">
        <v>11</v>
      </c>
      <c r="F1006" s="3" t="s">
        <v>20</v>
      </c>
      <c r="G1006" s="1" t="str">
        <f>IF(OR(ISERROR(SEARCH("recipiente",A1006))=FALSE, ISERROR(SEARCH("serbatoio",A1006))=FALSE, ISERROR(SEARCH("scambiatore",A1006))=FALSE),
    IF(D1006*E1006&gt;3000,"IV",
        IF(D1006*E1006&gt;1000,"III",
            IF(D1006*E1006&gt;200,"II",
                IF(D1006*E1006&gt;50,"I","")
            )
        )
    ),
    IF(ISERROR(SEARCH("valvola di sicurezza",A1006))=FALSE,"IV","")
)</f>
        <v>III</v>
      </c>
    </row>
    <row r="1007" spans="1:7" x14ac:dyDescent="0.3">
      <c r="A1007" t="s">
        <v>7</v>
      </c>
      <c r="B1007" t="s">
        <v>902</v>
      </c>
      <c r="C1007" s="2" t="s">
        <v>28</v>
      </c>
      <c r="D1007" s="1">
        <v>270</v>
      </c>
      <c r="E1007" s="1">
        <v>11</v>
      </c>
      <c r="F1007" s="3" t="s">
        <v>10</v>
      </c>
      <c r="G1007" s="1" t="str">
        <f>IF(OR(ISERROR(SEARCH("recipiente",A1007))=FALSE, ISERROR(SEARCH("serbatoio",A1007))=FALSE, ISERROR(SEARCH("scambiatore",A1007))=FALSE),
    IF(D1007*E1007&gt;3000,"IV",
        IF(D1007*E1007&gt;1000,"III",
            IF(D1007*E1007&gt;200,"II",
                IF(D1007*E1007&gt;50,"I","")
            )
        )
    ),
    IF(ISERROR(SEARCH("valvola di sicurezza",A1007))=FALSE,"IV","")
)</f>
        <v>III</v>
      </c>
    </row>
    <row r="1008" spans="1:7" x14ac:dyDescent="0.3">
      <c r="A1008" t="s">
        <v>7</v>
      </c>
      <c r="B1008" t="s">
        <v>902</v>
      </c>
      <c r="C1008" s="2" t="s">
        <v>29</v>
      </c>
      <c r="D1008" s="1">
        <v>720</v>
      </c>
      <c r="E1008" s="1">
        <v>11</v>
      </c>
      <c r="F1008" s="3" t="s">
        <v>10</v>
      </c>
      <c r="G1008" s="1" t="str">
        <f>IF(OR(ISERROR(SEARCH("recipiente",A1008))=FALSE, ISERROR(SEARCH("serbatoio",A1008))=FALSE, ISERROR(SEARCH("scambiatore",A1008))=FALSE),
    IF(D1008*E1008&gt;3000,"IV",
        IF(D1008*E1008&gt;1000,"III",
            IF(D1008*E1008&gt;200,"II",
                IF(D1008*E1008&gt;50,"I","")
            )
        )
    ),
    IF(ISERROR(SEARCH("valvola di sicurezza",A1008))=FALSE,"IV","")
)</f>
        <v>IV</v>
      </c>
    </row>
    <row r="1009" spans="1:7" x14ac:dyDescent="0.3">
      <c r="A1009" t="s">
        <v>7</v>
      </c>
      <c r="B1009" t="s">
        <v>902</v>
      </c>
      <c r="C1009" s="2" t="s">
        <v>30</v>
      </c>
      <c r="D1009" s="1">
        <v>2000</v>
      </c>
      <c r="E1009" s="1">
        <v>12</v>
      </c>
      <c r="F1009" s="3" t="s">
        <v>31</v>
      </c>
      <c r="G1009" s="1" t="str">
        <f>IF(OR(ISERROR(SEARCH("recipiente",A1009))=FALSE, ISERROR(SEARCH("serbatoio",A1009))=FALSE, ISERROR(SEARCH("scambiatore",A1009))=FALSE),
    IF(D1009*E1009&gt;3000,"IV",
        IF(D1009*E1009&gt;1000,"III",
            IF(D1009*E1009&gt;200,"II",
                IF(D1009*E1009&gt;50,"I","")
            )
        )
    ),
    IF(ISERROR(SEARCH("valvola di sicurezza",A1009))=FALSE,"IV","")
)</f>
        <v>IV</v>
      </c>
    </row>
    <row r="1010" spans="1:7" x14ac:dyDescent="0.3">
      <c r="A1010" t="s">
        <v>7</v>
      </c>
      <c r="B1010" t="s">
        <v>902</v>
      </c>
      <c r="C1010" s="2" t="s">
        <v>32</v>
      </c>
      <c r="D1010" s="1">
        <v>215</v>
      </c>
      <c r="E1010" s="1">
        <v>11.5</v>
      </c>
      <c r="F1010" s="3" t="s">
        <v>10</v>
      </c>
      <c r="G1010" s="1" t="str">
        <f>IF(OR(ISERROR(SEARCH("recipiente",A1010))=FALSE, ISERROR(SEARCH("serbatoio",A1010))=FALSE, ISERROR(SEARCH("scambiatore",A1010))=FALSE),
    IF(D1010*E1010&gt;3000,"IV",
        IF(D1010*E1010&gt;1000,"III",
            IF(D1010*E1010&gt;200,"II",
                IF(D1010*E1010&gt;50,"I","")
            )
        )
    ),
    IF(ISERROR(SEARCH("valvola di sicurezza",A1010))=FALSE,"IV","")
)</f>
        <v>III</v>
      </c>
    </row>
    <row r="1011" spans="1:7" x14ac:dyDescent="0.3">
      <c r="A1011" t="s">
        <v>33</v>
      </c>
      <c r="B1011" t="s">
        <v>902</v>
      </c>
      <c r="C1011" s="2">
        <v>3034</v>
      </c>
      <c r="D1011" s="1">
        <v>34</v>
      </c>
      <c r="E1011" s="1">
        <v>16</v>
      </c>
      <c r="F1011" s="3" t="s">
        <v>34</v>
      </c>
      <c r="G1011" s="1" t="str">
        <f>IF(OR(ISERROR(SEARCH("recipiente",A1011))=FALSE, ISERROR(SEARCH("serbatoio",A1011))=FALSE, ISERROR(SEARCH("scambiatore",A1011))=FALSE),
    IF(D1011*E1011&gt;3000,"IV",
        IF(D1011*E1011&gt;1000,"III",
            IF(D1011*E1011&gt;200,"II",
                IF(D1011*E1011&gt;50,"I","")
            )
        )
    ),
    IF(ISERROR(SEARCH("valvola di sicurezza",A1011))=FALSE,"IV","")
)</f>
        <v>II</v>
      </c>
    </row>
    <row r="1012" spans="1:7" x14ac:dyDescent="0.3">
      <c r="A1012" t="s">
        <v>33</v>
      </c>
      <c r="B1012" t="s">
        <v>902</v>
      </c>
      <c r="C1012" s="2">
        <v>3070</v>
      </c>
      <c r="D1012" s="1">
        <v>75</v>
      </c>
      <c r="E1012" s="1">
        <v>16</v>
      </c>
      <c r="F1012" s="3" t="s">
        <v>34</v>
      </c>
      <c r="G1012" s="1" t="str">
        <f>IF(OR(ISERROR(SEARCH("recipiente",A1012))=FALSE, ISERROR(SEARCH("serbatoio",A1012))=FALSE, ISERROR(SEARCH("scambiatore",A1012))=FALSE),
    IF(D1012*E1012&gt;3000,"IV",
        IF(D1012*E1012&gt;1000,"III",
            IF(D1012*E1012&gt;200,"II",
                IF(D1012*E1012&gt;50,"I","")
            )
        )
    ),
    IF(ISERROR(SEARCH("valvola di sicurezza",A1012))=FALSE,"IV","")
)</f>
        <v>III</v>
      </c>
    </row>
    <row r="1013" spans="1:7" x14ac:dyDescent="0.3">
      <c r="A1013" t="s">
        <v>33</v>
      </c>
      <c r="B1013" t="s">
        <v>902</v>
      </c>
      <c r="C1013" s="2">
        <v>3134</v>
      </c>
      <c r="D1013" s="1">
        <v>130</v>
      </c>
      <c r="E1013" s="1">
        <v>16</v>
      </c>
      <c r="F1013" s="3" t="s">
        <v>10</v>
      </c>
      <c r="G1013" s="1" t="str">
        <f>IF(OR(ISERROR(SEARCH("recipiente",A1013))=FALSE, ISERROR(SEARCH("serbatoio",A1013))=FALSE, ISERROR(SEARCH("scambiatore",A1013))=FALSE),
    IF(D1013*E1013&gt;3000,"IV",
        IF(D1013*E1013&gt;1000,"III",
            IF(D1013*E1013&gt;200,"II",
                IF(D1013*E1013&gt;50,"I","")
            )
        )
    ),
    IF(ISERROR(SEARCH("valvola di sicurezza",A1013))=FALSE,"IV","")
)</f>
        <v>III</v>
      </c>
    </row>
    <row r="1014" spans="1:7" x14ac:dyDescent="0.3">
      <c r="A1014" t="s">
        <v>33</v>
      </c>
      <c r="B1014" t="s">
        <v>902</v>
      </c>
      <c r="C1014" s="2">
        <v>3137</v>
      </c>
      <c r="D1014" s="1">
        <v>135</v>
      </c>
      <c r="E1014" s="1">
        <v>16</v>
      </c>
      <c r="F1014" s="3" t="s">
        <v>10</v>
      </c>
      <c r="G1014" s="1" t="str">
        <f>IF(OR(ISERROR(SEARCH("recipiente",A1014))=FALSE, ISERROR(SEARCH("serbatoio",A1014))=FALSE, ISERROR(SEARCH("scambiatore",A1014))=FALSE),
    IF(D1014*E1014&gt;3000,"IV",
        IF(D1014*E1014&gt;1000,"III",
            IF(D1014*E1014&gt;200,"II",
                IF(D1014*E1014&gt;50,"I","")
            )
        )
    ),
    IF(ISERROR(SEARCH("valvola di sicurezza",A1014))=FALSE,"IV","")
)</f>
        <v>III</v>
      </c>
    </row>
    <row r="1015" spans="1:7" x14ac:dyDescent="0.3">
      <c r="A1015" t="s">
        <v>33</v>
      </c>
      <c r="B1015" t="s">
        <v>902</v>
      </c>
      <c r="C1015" s="2" t="s">
        <v>35</v>
      </c>
      <c r="D1015" s="1">
        <v>115</v>
      </c>
      <c r="E1015" s="1">
        <v>16</v>
      </c>
      <c r="F1015" s="3" t="s">
        <v>10</v>
      </c>
      <c r="G1015" s="1" t="str">
        <f>IF(OR(ISERROR(SEARCH("recipiente",A1015))=FALSE, ISERROR(SEARCH("serbatoio",A1015))=FALSE, ISERROR(SEARCH("scambiatore",A1015))=FALSE),
    IF(D1015*E1015&gt;3000,"IV",
        IF(D1015*E1015&gt;1000,"III",
            IF(D1015*E1015&gt;200,"II",
                IF(D1015*E1015&gt;50,"I","")
            )
        )
    ),
    IF(ISERROR(SEARCH("valvola di sicurezza",A1015))=FALSE,"IV","")
)</f>
        <v>III</v>
      </c>
    </row>
    <row r="1016" spans="1:7" x14ac:dyDescent="0.3">
      <c r="A1016" t="s">
        <v>33</v>
      </c>
      <c r="B1016" t="s">
        <v>902</v>
      </c>
      <c r="C1016" s="2" t="s">
        <v>36</v>
      </c>
      <c r="D1016" s="1">
        <v>135</v>
      </c>
      <c r="E1016" s="1">
        <v>16</v>
      </c>
      <c r="F1016" s="3" t="s">
        <v>10</v>
      </c>
      <c r="G1016" s="1" t="str">
        <f>IF(OR(ISERROR(SEARCH("recipiente",A1016))=FALSE, ISERROR(SEARCH("serbatoio",A1016))=FALSE, ISERROR(SEARCH("scambiatore",A1016))=FALSE),
    IF(D1016*E1016&gt;3000,"IV",
        IF(D1016*E1016&gt;1000,"III",
            IF(D1016*E1016&gt;200,"II",
                IF(D1016*E1016&gt;50,"I","")
            )
        )
    ),
    IF(ISERROR(SEARCH("valvola di sicurezza",A1016))=FALSE,"IV","")
)</f>
        <v>III</v>
      </c>
    </row>
    <row r="1017" spans="1:7" x14ac:dyDescent="0.3">
      <c r="A1017" t="s">
        <v>33</v>
      </c>
      <c r="B1017" t="s">
        <v>902</v>
      </c>
      <c r="C1017" s="2" t="s">
        <v>37</v>
      </c>
      <c r="D1017" s="1">
        <v>75</v>
      </c>
      <c r="E1017" s="1">
        <v>16</v>
      </c>
      <c r="F1017" s="3" t="s">
        <v>10</v>
      </c>
      <c r="G1017" s="1" t="str">
        <f>IF(OR(ISERROR(SEARCH("recipiente",A1017))=FALSE, ISERROR(SEARCH("serbatoio",A1017))=FALSE, ISERROR(SEARCH("scambiatore",A1017))=FALSE),
    IF(D1017*E1017&gt;3000,"IV",
        IF(D1017*E1017&gt;1000,"III",
            IF(D1017*E1017&gt;200,"II",
                IF(D1017*E1017&gt;50,"I","")
            )
        )
    ),
    IF(ISERROR(SEARCH("valvola di sicurezza",A1017))=FALSE,"IV","")
)</f>
        <v>III</v>
      </c>
    </row>
    <row r="1018" spans="1:7" x14ac:dyDescent="0.3">
      <c r="A1018" t="s">
        <v>33</v>
      </c>
      <c r="B1018" t="s">
        <v>902</v>
      </c>
      <c r="C1018" s="2" t="s">
        <v>38</v>
      </c>
      <c r="D1018" s="1">
        <v>125</v>
      </c>
      <c r="E1018" s="1">
        <v>16</v>
      </c>
      <c r="F1018" s="3" t="s">
        <v>10</v>
      </c>
      <c r="G1018" s="1" t="str">
        <f>IF(OR(ISERROR(SEARCH("recipiente",A1018))=FALSE, ISERROR(SEARCH("serbatoio",A1018))=FALSE, ISERROR(SEARCH("scambiatore",A1018))=FALSE),
    IF(D1018*E1018&gt;3000,"IV",
        IF(D1018*E1018&gt;1000,"III",
            IF(D1018*E1018&gt;200,"II",
                IF(D1018*E1018&gt;50,"I","")
            )
        )
    ),
    IF(ISERROR(SEARCH("valvola di sicurezza",A1018))=FALSE,"IV","")
)</f>
        <v>III</v>
      </c>
    </row>
    <row r="1019" spans="1:7" x14ac:dyDescent="0.3">
      <c r="A1019" t="s">
        <v>33</v>
      </c>
      <c r="B1019" t="s">
        <v>902</v>
      </c>
      <c r="C1019" s="2" t="s">
        <v>39</v>
      </c>
      <c r="D1019" s="1">
        <v>30</v>
      </c>
      <c r="E1019" s="1">
        <v>16</v>
      </c>
      <c r="F1019" s="3" t="s">
        <v>10</v>
      </c>
      <c r="G1019" s="1" t="str">
        <f>IF(OR(ISERROR(SEARCH("recipiente",A1019))=FALSE, ISERROR(SEARCH("serbatoio",A1019))=FALSE, ISERROR(SEARCH("scambiatore",A1019))=FALSE),
    IF(D1019*E1019&gt;3000,"IV",
        IF(D1019*E1019&gt;1000,"III",
            IF(D1019*E1019&gt;200,"II",
                IF(D1019*E1019&gt;50,"I","")
            )
        )
    ),
    IF(ISERROR(SEARCH("valvola di sicurezza",A1019))=FALSE,"IV","")
)</f>
        <v>II</v>
      </c>
    </row>
    <row r="1020" spans="1:7" x14ac:dyDescent="0.3">
      <c r="A1020" t="s">
        <v>33</v>
      </c>
      <c r="B1020" t="s">
        <v>902</v>
      </c>
      <c r="C1020" s="2" t="s">
        <v>40</v>
      </c>
      <c r="D1020" s="1">
        <v>65</v>
      </c>
      <c r="E1020" s="1">
        <v>16</v>
      </c>
      <c r="F1020" s="3" t="s">
        <v>10</v>
      </c>
      <c r="G1020" s="1" t="str">
        <f>IF(OR(ISERROR(SEARCH("recipiente",A1020))=FALSE, ISERROR(SEARCH("serbatoio",A1020))=FALSE, ISERROR(SEARCH("scambiatore",A1020))=FALSE),
    IF(D1020*E1020&gt;3000,"IV",
        IF(D1020*E1020&gt;1000,"III",
            IF(D1020*E1020&gt;200,"II",
                IF(D1020*E1020&gt;50,"I","")
            )
        )
    ),
    IF(ISERROR(SEARCH("valvola di sicurezza",A1020))=FALSE,"IV","")
)</f>
        <v>III</v>
      </c>
    </row>
    <row r="1021" spans="1:7" x14ac:dyDescent="0.3">
      <c r="A1021" t="s">
        <v>33</v>
      </c>
      <c r="B1021" t="s">
        <v>902</v>
      </c>
      <c r="C1021" s="2" t="s">
        <v>41</v>
      </c>
      <c r="D1021" s="1">
        <v>55</v>
      </c>
      <c r="E1021" s="1">
        <v>16</v>
      </c>
      <c r="F1021" s="3" t="s">
        <v>10</v>
      </c>
      <c r="G1021" s="1" t="str">
        <f>IF(OR(ISERROR(SEARCH("recipiente",A1021))=FALSE, ISERROR(SEARCH("serbatoio",A1021))=FALSE, ISERROR(SEARCH("scambiatore",A1021))=FALSE),
    IF(D1021*E1021&gt;3000,"IV",
        IF(D1021*E1021&gt;1000,"III",
            IF(D1021*E1021&gt;200,"II",
                IF(D1021*E1021&gt;50,"I","")
            )
        )
    ),
    IF(ISERROR(SEARCH("valvola di sicurezza",A1021))=FALSE,"IV","")
)</f>
        <v>II</v>
      </c>
    </row>
    <row r="1022" spans="1:7" x14ac:dyDescent="0.3">
      <c r="A1022" t="s">
        <v>33</v>
      </c>
      <c r="B1022" t="s">
        <v>902</v>
      </c>
      <c r="C1022" s="2" t="s">
        <v>42</v>
      </c>
      <c r="D1022" s="1">
        <v>55</v>
      </c>
      <c r="E1022" s="1">
        <v>16</v>
      </c>
      <c r="F1022" s="3" t="s">
        <v>10</v>
      </c>
      <c r="G1022" s="1" t="str">
        <f>IF(OR(ISERROR(SEARCH("recipiente",A1022))=FALSE, ISERROR(SEARCH("serbatoio",A1022))=FALSE, ISERROR(SEARCH("scambiatore",A1022))=FALSE),
    IF(D1022*E1022&gt;3000,"IV",
        IF(D1022*E1022&gt;1000,"III",
            IF(D1022*E1022&gt;200,"II",
                IF(D1022*E1022&gt;50,"I","")
            )
        )
    ),
    IF(ISERROR(SEARCH("valvola di sicurezza",A1022))=FALSE,"IV","")
)</f>
        <v>II</v>
      </c>
    </row>
    <row r="1023" spans="1:7" x14ac:dyDescent="0.3">
      <c r="A1023" t="s">
        <v>33</v>
      </c>
      <c r="B1023" t="s">
        <v>902</v>
      </c>
      <c r="C1023" s="2" t="s">
        <v>43</v>
      </c>
      <c r="D1023" s="1">
        <v>125</v>
      </c>
      <c r="E1023" s="1">
        <v>16</v>
      </c>
      <c r="F1023" s="3" t="s">
        <v>10</v>
      </c>
      <c r="G1023" s="1" t="str">
        <f>IF(OR(ISERROR(SEARCH("recipiente",A1023))=FALSE, ISERROR(SEARCH("serbatoio",A1023))=FALSE, ISERROR(SEARCH("scambiatore",A1023))=FALSE),
    IF(D1023*E1023&gt;3000,"IV",
        IF(D1023*E1023&gt;1000,"III",
            IF(D1023*E1023&gt;200,"II",
                IF(D1023*E1023&gt;50,"I","")
            )
        )
    ),
    IF(ISERROR(SEARCH("valvola di sicurezza",A1023))=FALSE,"IV","")
)</f>
        <v>III</v>
      </c>
    </row>
    <row r="1024" spans="1:7" x14ac:dyDescent="0.3">
      <c r="A1024" t="s">
        <v>33</v>
      </c>
      <c r="B1024" t="s">
        <v>902</v>
      </c>
      <c r="C1024" s="2" t="s">
        <v>44</v>
      </c>
      <c r="D1024" s="1">
        <v>12</v>
      </c>
      <c r="E1024" s="1">
        <v>16</v>
      </c>
      <c r="F1024" s="3" t="s">
        <v>10</v>
      </c>
      <c r="G1024" s="1" t="str">
        <f>IF(OR(ISERROR(SEARCH("recipiente",A1024))=FALSE, ISERROR(SEARCH("serbatoio",A1024))=FALSE, ISERROR(SEARCH("scambiatore",A1024))=FALSE),
    IF(D1024*E1024&gt;3000,"IV",
        IF(D1024*E1024&gt;1000,"III",
            IF(D1024*E1024&gt;200,"II",
                IF(D1024*E1024&gt;50,"I","")
            )
        )
    ),
    IF(ISERROR(SEARCH("valvola di sicurezza",A1024))=FALSE,"IV","")
)</f>
        <v>I</v>
      </c>
    </row>
    <row r="1025" spans="1:7" x14ac:dyDescent="0.3">
      <c r="A1025" t="s">
        <v>33</v>
      </c>
      <c r="B1025" t="s">
        <v>902</v>
      </c>
      <c r="C1025" s="2" t="s">
        <v>45</v>
      </c>
      <c r="D1025" s="1">
        <v>55</v>
      </c>
      <c r="E1025" s="1">
        <v>15</v>
      </c>
      <c r="F1025" s="3" t="s">
        <v>10</v>
      </c>
      <c r="G1025" s="1" t="str">
        <f>IF(OR(ISERROR(SEARCH("recipiente",A1025))=FALSE, ISERROR(SEARCH("serbatoio",A1025))=FALSE, ISERROR(SEARCH("scambiatore",A1025))=FALSE),
    IF(D1025*E1025&gt;3000,"IV",
        IF(D1025*E1025&gt;1000,"III",
            IF(D1025*E1025&gt;200,"II",
                IF(D1025*E1025&gt;50,"I","")
            )
        )
    ),
    IF(ISERROR(SEARCH("valvola di sicurezza",A1025))=FALSE,"IV","")
)</f>
        <v>II</v>
      </c>
    </row>
    <row r="1026" spans="1:7" x14ac:dyDescent="0.3">
      <c r="A1026" t="s">
        <v>33</v>
      </c>
      <c r="B1026" t="s">
        <v>902</v>
      </c>
      <c r="C1026" s="2" t="s">
        <v>46</v>
      </c>
      <c r="D1026" s="1">
        <v>75</v>
      </c>
      <c r="E1026" s="1">
        <v>16</v>
      </c>
      <c r="F1026" s="3" t="s">
        <v>10</v>
      </c>
      <c r="G1026" s="1" t="str">
        <f>IF(OR(ISERROR(SEARCH("recipiente",A1026))=FALSE, ISERROR(SEARCH("serbatoio",A1026))=FALSE, ISERROR(SEARCH("scambiatore",A1026))=FALSE),
    IF(D1026*E1026&gt;3000,"IV",
        IF(D1026*E1026&gt;1000,"III",
            IF(D1026*E1026&gt;200,"II",
                IF(D1026*E1026&gt;50,"I","")
            )
        )
    ),
    IF(ISERROR(SEARCH("valvola di sicurezza",A1026))=FALSE,"IV","")
)</f>
        <v>III</v>
      </c>
    </row>
    <row r="1027" spans="1:7" x14ac:dyDescent="0.3">
      <c r="A1027" t="s">
        <v>33</v>
      </c>
      <c r="B1027" t="s">
        <v>902</v>
      </c>
      <c r="C1027" s="2" t="s">
        <v>47</v>
      </c>
      <c r="D1027" s="1">
        <v>30</v>
      </c>
      <c r="E1027" s="1">
        <v>16</v>
      </c>
      <c r="F1027" s="3" t="s">
        <v>10</v>
      </c>
      <c r="G1027" s="1" t="str">
        <f>IF(OR(ISERROR(SEARCH("recipiente",A1027))=FALSE, ISERROR(SEARCH("serbatoio",A1027))=FALSE, ISERROR(SEARCH("scambiatore",A1027))=FALSE),
    IF(D1027*E1027&gt;3000,"IV",
        IF(D1027*E1027&gt;1000,"III",
            IF(D1027*E1027&gt;200,"II",
                IF(D1027*E1027&gt;50,"I","")
            )
        )
    ),
    IF(ISERROR(SEARCH("valvola di sicurezza",A1027))=FALSE,"IV","")
)</f>
        <v>II</v>
      </c>
    </row>
    <row r="1028" spans="1:7" x14ac:dyDescent="0.3">
      <c r="A1028" t="s">
        <v>33</v>
      </c>
      <c r="B1028" t="s">
        <v>902</v>
      </c>
      <c r="C1028" s="2" t="s">
        <v>48</v>
      </c>
      <c r="D1028" s="1">
        <v>41</v>
      </c>
      <c r="E1028" s="1">
        <v>14.5</v>
      </c>
      <c r="F1028" s="3" t="s">
        <v>10</v>
      </c>
      <c r="G1028" s="1" t="str">
        <f>IF(OR(ISERROR(SEARCH("recipiente",A1028))=FALSE, ISERROR(SEARCH("serbatoio",A1028))=FALSE, ISERROR(SEARCH("scambiatore",A1028))=FALSE),
    IF(D1028*E1028&gt;3000,"IV",
        IF(D1028*E1028&gt;1000,"III",
            IF(D1028*E1028&gt;200,"II",
                IF(D1028*E1028&gt;50,"I","")
            )
        )
    ),
    IF(ISERROR(SEARCH("valvola di sicurezza",A1028))=FALSE,"IV","")
)</f>
        <v>II</v>
      </c>
    </row>
    <row r="1029" spans="1:7" x14ac:dyDescent="0.3">
      <c r="A1029" t="s">
        <v>33</v>
      </c>
      <c r="B1029" t="s">
        <v>902</v>
      </c>
      <c r="C1029" s="2" t="s">
        <v>49</v>
      </c>
      <c r="D1029" s="1">
        <v>50</v>
      </c>
      <c r="E1029" s="1">
        <v>15</v>
      </c>
      <c r="F1029" s="3" t="s">
        <v>10</v>
      </c>
      <c r="G1029" s="1" t="str">
        <f>IF(OR(ISERROR(SEARCH("recipiente",A1029))=FALSE, ISERROR(SEARCH("serbatoio",A1029))=FALSE, ISERROR(SEARCH("scambiatore",A1029))=FALSE),
    IF(D1029*E1029&gt;3000,"IV",
        IF(D1029*E1029&gt;1000,"III",
            IF(D1029*E1029&gt;200,"II",
                IF(D1029*E1029&gt;50,"I","")
            )
        )
    ),
    IF(ISERROR(SEARCH("valvola di sicurezza",A1029))=FALSE,"IV","")
)</f>
        <v>II</v>
      </c>
    </row>
    <row r="1030" spans="1:7" x14ac:dyDescent="0.3">
      <c r="A1030" t="s">
        <v>33</v>
      </c>
      <c r="B1030" t="s">
        <v>902</v>
      </c>
      <c r="C1030" s="2" t="s">
        <v>50</v>
      </c>
      <c r="D1030" s="1">
        <v>63</v>
      </c>
      <c r="E1030" s="1">
        <v>15</v>
      </c>
      <c r="F1030" s="3" t="s">
        <v>10</v>
      </c>
      <c r="G1030" s="1" t="str">
        <f>IF(OR(ISERROR(SEARCH("recipiente",A1030))=FALSE, ISERROR(SEARCH("serbatoio",A1030))=FALSE, ISERROR(SEARCH("scambiatore",A1030))=FALSE),
    IF(D1030*E1030&gt;3000,"IV",
        IF(D1030*E1030&gt;1000,"III",
            IF(D1030*E1030&gt;200,"II",
                IF(D1030*E1030&gt;50,"I","")
            )
        )
    ),
    IF(ISERROR(SEARCH("valvola di sicurezza",A1030))=FALSE,"IV","")
)</f>
        <v>II</v>
      </c>
    </row>
    <row r="1031" spans="1:7" x14ac:dyDescent="0.3">
      <c r="A1031" t="s">
        <v>33</v>
      </c>
      <c r="B1031" t="s">
        <v>902</v>
      </c>
      <c r="C1031" s="2" t="s">
        <v>51</v>
      </c>
      <c r="D1031" s="1">
        <v>41</v>
      </c>
      <c r="E1031" s="1">
        <v>15</v>
      </c>
      <c r="F1031" s="3" t="s">
        <v>10</v>
      </c>
      <c r="G1031" s="1" t="str">
        <f>IF(OR(ISERROR(SEARCH("recipiente",A1031))=FALSE, ISERROR(SEARCH("serbatoio",A1031))=FALSE, ISERROR(SEARCH("scambiatore",A1031))=FALSE),
    IF(D1031*E1031&gt;3000,"IV",
        IF(D1031*E1031&gt;1000,"III",
            IF(D1031*E1031&gt;200,"II",
                IF(D1031*E1031&gt;50,"I","")
            )
        )
    ),
    IF(ISERROR(SEARCH("valvola di sicurezza",A1031))=FALSE,"IV","")
)</f>
        <v>II</v>
      </c>
    </row>
    <row r="1032" spans="1:7" x14ac:dyDescent="0.3">
      <c r="A1032" t="s">
        <v>33</v>
      </c>
      <c r="B1032" t="s">
        <v>902</v>
      </c>
      <c r="C1032" s="2" t="s">
        <v>52</v>
      </c>
      <c r="D1032" s="1">
        <v>55</v>
      </c>
      <c r="E1032" s="1">
        <v>15</v>
      </c>
      <c r="F1032" s="3" t="s">
        <v>10</v>
      </c>
      <c r="G1032" s="1" t="str">
        <f>IF(OR(ISERROR(SEARCH("recipiente",A1032))=FALSE, ISERROR(SEARCH("serbatoio",A1032))=FALSE, ISERROR(SEARCH("scambiatore",A1032))=FALSE),
    IF(D1032*E1032&gt;3000,"IV",
        IF(D1032*E1032&gt;1000,"III",
            IF(D1032*E1032&gt;200,"II",
                IF(D1032*E1032&gt;50,"I","")
            )
        )
    ),
    IF(ISERROR(SEARCH("valvola di sicurezza",A1032))=FALSE,"IV","")
)</f>
        <v>II</v>
      </c>
    </row>
    <row r="1033" spans="1:7" x14ac:dyDescent="0.3">
      <c r="A1033" t="s">
        <v>33</v>
      </c>
      <c r="B1033" t="s">
        <v>902</v>
      </c>
      <c r="C1033" s="2" t="s">
        <v>53</v>
      </c>
      <c r="D1033" s="1">
        <v>26</v>
      </c>
      <c r="E1033" s="1">
        <v>15</v>
      </c>
      <c r="F1033" s="3" t="s">
        <v>10</v>
      </c>
      <c r="G1033" s="1" t="str">
        <f>IF(OR(ISERROR(SEARCH("recipiente",A1033))=FALSE, ISERROR(SEARCH("serbatoio",A1033))=FALSE, ISERROR(SEARCH("scambiatore",A1033))=FALSE),
    IF(D1033*E1033&gt;3000,"IV",
        IF(D1033*E1033&gt;1000,"III",
            IF(D1033*E1033&gt;200,"II",
                IF(D1033*E1033&gt;50,"I","")
            )
        )
    ),
    IF(ISERROR(SEARCH("valvola di sicurezza",A1033))=FALSE,"IV","")
)</f>
        <v>II</v>
      </c>
    </row>
    <row r="1034" spans="1:7" x14ac:dyDescent="0.3">
      <c r="A1034" t="s">
        <v>33</v>
      </c>
      <c r="B1034" t="s">
        <v>902</v>
      </c>
      <c r="C1034" s="2" t="s">
        <v>54</v>
      </c>
      <c r="D1034" s="1">
        <v>25</v>
      </c>
      <c r="E1034" s="1">
        <v>15</v>
      </c>
      <c r="F1034" s="3" t="s">
        <v>10</v>
      </c>
      <c r="G1034" s="1" t="str">
        <f>IF(OR(ISERROR(SEARCH("recipiente",A1034))=FALSE, ISERROR(SEARCH("serbatoio",A1034))=FALSE, ISERROR(SEARCH("scambiatore",A1034))=FALSE),
    IF(D1034*E1034&gt;3000,"IV",
        IF(D1034*E1034&gt;1000,"III",
            IF(D1034*E1034&gt;200,"II",
                IF(D1034*E1034&gt;50,"I","")
            )
        )
    ),
    IF(ISERROR(SEARCH("valvola di sicurezza",A1034))=FALSE,"IV","")
)</f>
        <v>II</v>
      </c>
    </row>
    <row r="1035" spans="1:7" x14ac:dyDescent="0.3">
      <c r="A1035" t="s">
        <v>33</v>
      </c>
      <c r="B1035" t="s">
        <v>902</v>
      </c>
      <c r="C1035" s="2" t="s">
        <v>55</v>
      </c>
      <c r="D1035" s="1">
        <v>30</v>
      </c>
      <c r="E1035" s="1">
        <v>15</v>
      </c>
      <c r="F1035" s="3" t="s">
        <v>10</v>
      </c>
      <c r="G1035" s="1" t="str">
        <f>IF(OR(ISERROR(SEARCH("recipiente",A1035))=FALSE, ISERROR(SEARCH("serbatoio",A1035))=FALSE, ISERROR(SEARCH("scambiatore",A1035))=FALSE),
    IF(D1035*E1035&gt;3000,"IV",
        IF(D1035*E1035&gt;1000,"III",
            IF(D1035*E1035&gt;200,"II",
                IF(D1035*E1035&gt;50,"I","")
            )
        )
    ),
    IF(ISERROR(SEARCH("valvola di sicurezza",A1035))=FALSE,"IV","")
)</f>
        <v>II</v>
      </c>
    </row>
    <row r="1036" spans="1:7" x14ac:dyDescent="0.3">
      <c r="A1036" t="s">
        <v>33</v>
      </c>
      <c r="B1036" t="s">
        <v>902</v>
      </c>
      <c r="C1036" s="2" t="s">
        <v>56</v>
      </c>
      <c r="D1036" s="1">
        <v>185</v>
      </c>
      <c r="E1036" s="1">
        <v>16</v>
      </c>
      <c r="F1036" s="3" t="s">
        <v>10</v>
      </c>
      <c r="G1036" s="1" t="str">
        <f>IF(OR(ISERROR(SEARCH("recipiente",A1036))=FALSE, ISERROR(SEARCH("serbatoio",A1036))=FALSE, ISERROR(SEARCH("scambiatore",A1036))=FALSE),
    IF(D1036*E1036&gt;3000,"IV",
        IF(D1036*E1036&gt;1000,"III",
            IF(D1036*E1036&gt;200,"II",
                IF(D1036*E1036&gt;50,"I","")
            )
        )
    ),
    IF(ISERROR(SEARCH("valvola di sicurezza",A1036))=FALSE,"IV","")
)</f>
        <v>III</v>
      </c>
    </row>
    <row r="1037" spans="1:7" x14ac:dyDescent="0.3">
      <c r="A1037" t="s">
        <v>33</v>
      </c>
      <c r="B1037" t="s">
        <v>902</v>
      </c>
      <c r="C1037" s="2" t="s">
        <v>57</v>
      </c>
      <c r="D1037" s="1">
        <v>100</v>
      </c>
      <c r="E1037" s="1">
        <v>16</v>
      </c>
      <c r="F1037" s="3" t="s">
        <v>58</v>
      </c>
      <c r="G1037" s="1" t="str">
        <f>IF(OR(ISERROR(SEARCH("recipiente",A1037))=FALSE, ISERROR(SEARCH("serbatoio",A1037))=FALSE, ISERROR(SEARCH("scambiatore",A1037))=FALSE),
    IF(D1037*E1037&gt;3000,"IV",
        IF(D1037*E1037&gt;1000,"III",
            IF(D1037*E1037&gt;200,"II",
                IF(D1037*E1037&gt;50,"I","")
            )
        )
    ),
    IF(ISERROR(SEARCH("valvola di sicurezza",A1037))=FALSE,"IV","")
)</f>
        <v>III</v>
      </c>
    </row>
    <row r="1038" spans="1:7" x14ac:dyDescent="0.3">
      <c r="A1038" t="s">
        <v>33</v>
      </c>
      <c r="B1038" t="s">
        <v>902</v>
      </c>
      <c r="C1038" s="2" t="s">
        <v>59</v>
      </c>
      <c r="D1038" s="1">
        <v>28</v>
      </c>
      <c r="E1038" s="1">
        <v>15</v>
      </c>
      <c r="F1038" s="3" t="s">
        <v>10</v>
      </c>
      <c r="G1038" s="1" t="str">
        <f>IF(OR(ISERROR(SEARCH("recipiente",A1038))=FALSE, ISERROR(SEARCH("serbatoio",A1038))=FALSE, ISERROR(SEARCH("scambiatore",A1038))=FALSE),
    IF(D1038*E1038&gt;3000,"IV",
        IF(D1038*E1038&gt;1000,"III",
            IF(D1038*E1038&gt;200,"II",
                IF(D1038*E1038&gt;50,"I","")
            )
        )
    ),
    IF(ISERROR(SEARCH("valvola di sicurezza",A1038))=FALSE,"IV","")
)</f>
        <v>II</v>
      </c>
    </row>
    <row r="1039" spans="1:7" x14ac:dyDescent="0.3">
      <c r="A1039" t="s">
        <v>33</v>
      </c>
      <c r="B1039" t="s">
        <v>902</v>
      </c>
      <c r="C1039" s="2" t="s">
        <v>60</v>
      </c>
      <c r="D1039" s="1">
        <v>28</v>
      </c>
      <c r="E1039" s="1">
        <v>15</v>
      </c>
      <c r="F1039" s="3" t="s">
        <v>10</v>
      </c>
      <c r="G1039" s="1" t="str">
        <f>IF(OR(ISERROR(SEARCH("recipiente",A1039))=FALSE, ISERROR(SEARCH("serbatoio",A1039))=FALSE, ISERROR(SEARCH("scambiatore",A1039))=FALSE),
    IF(D1039*E1039&gt;3000,"IV",
        IF(D1039*E1039&gt;1000,"III",
            IF(D1039*E1039&gt;200,"II",
                IF(D1039*E1039&gt;50,"I","")
            )
        )
    ),
    IF(ISERROR(SEARCH("valvola di sicurezza",A1039))=FALSE,"IV","")
)</f>
        <v>II</v>
      </c>
    </row>
    <row r="1040" spans="1:7" x14ac:dyDescent="0.3">
      <c r="A1040" t="s">
        <v>33</v>
      </c>
      <c r="B1040" t="s">
        <v>902</v>
      </c>
      <c r="C1040" s="2" t="s">
        <v>61</v>
      </c>
      <c r="D1040" s="1">
        <v>55</v>
      </c>
      <c r="E1040" s="1">
        <v>15</v>
      </c>
      <c r="F1040" s="3" t="s">
        <v>10</v>
      </c>
      <c r="G1040" s="1" t="str">
        <f>IF(OR(ISERROR(SEARCH("recipiente",A1040))=FALSE, ISERROR(SEARCH("serbatoio",A1040))=FALSE, ISERROR(SEARCH("scambiatore",A1040))=FALSE),
    IF(D1040*E1040&gt;3000,"IV",
        IF(D1040*E1040&gt;1000,"III",
            IF(D1040*E1040&gt;200,"II",
                IF(D1040*E1040&gt;50,"I","")
            )
        )
    ),
    IF(ISERROR(SEARCH("valvola di sicurezza",A1040))=FALSE,"IV","")
)</f>
        <v>II</v>
      </c>
    </row>
    <row r="1041" spans="1:7" x14ac:dyDescent="0.3">
      <c r="A1041" t="s">
        <v>33</v>
      </c>
      <c r="B1041" t="s">
        <v>902</v>
      </c>
      <c r="C1041" s="2">
        <v>3080</v>
      </c>
      <c r="D1041" s="1">
        <v>80</v>
      </c>
      <c r="E1041" s="1">
        <v>16</v>
      </c>
      <c r="F1041" s="3" t="s">
        <v>10</v>
      </c>
      <c r="G1041" s="1" t="str">
        <f>IF(OR(ISERROR(SEARCH("recipiente",A1041))=FALSE, ISERROR(SEARCH("serbatoio",A1041))=FALSE, ISERROR(SEARCH("scambiatore",A1041))=FALSE),
    IF(D1041*E1041&gt;3000,"IV",
        IF(D1041*E1041&gt;1000,"III",
            IF(D1041*E1041&gt;200,"II",
                IF(D1041*E1041&gt;50,"I","")
            )
        )
    ),
    IF(ISERROR(SEARCH("valvola di sicurezza",A1041))=FALSE,"IV","")
)</f>
        <v>III</v>
      </c>
    </row>
    <row r="1042" spans="1:7" x14ac:dyDescent="0.3">
      <c r="A1042" t="s">
        <v>7</v>
      </c>
      <c r="B1042" t="s">
        <v>903</v>
      </c>
      <c r="C1042" s="2" t="s">
        <v>904</v>
      </c>
      <c r="D1042" s="1">
        <v>200</v>
      </c>
      <c r="E1042" s="1">
        <v>11</v>
      </c>
      <c r="F1042" s="4" t="s">
        <v>10</v>
      </c>
      <c r="G1042" s="1" t="str">
        <f>IF(OR(ISERROR(SEARCH("recipiente",A1042))=FALSE, ISERROR(SEARCH("serbatoio",A1042))=FALSE, ISERROR(SEARCH("scambiatore",A1042))=FALSE),
    IF(D1042*E1042&gt;3000,"IV",
        IF(D1042*E1042&gt;1000,"III",
            IF(D1042*E1042&gt;200,"II",
                IF(D1042*E1042&gt;50,"I","")
            )
        )
    ),
    IF(ISERROR(SEARCH("valvola di sicurezza",A1042))=FALSE,"IV","")
)</f>
        <v>III</v>
      </c>
    </row>
    <row r="1043" spans="1:7" x14ac:dyDescent="0.3">
      <c r="A1043" t="s">
        <v>7</v>
      </c>
      <c r="B1043" t="s">
        <v>903</v>
      </c>
      <c r="C1043" s="2" t="s">
        <v>905</v>
      </c>
      <c r="D1043" s="1">
        <v>800</v>
      </c>
      <c r="E1043" s="1">
        <v>9.81</v>
      </c>
      <c r="F1043" s="4" t="s">
        <v>31</v>
      </c>
      <c r="G1043" s="1" t="str">
        <f>IF(OR(ISERROR(SEARCH("recipiente",A1043))=FALSE, ISERROR(SEARCH("serbatoio",A1043))=FALSE, ISERROR(SEARCH("scambiatore",A1043))=FALSE),
    IF(D1043*E1043&gt;3000,"IV",
        IF(D1043*E1043&gt;1000,"III",
            IF(D1043*E1043&gt;200,"II",
                IF(D1043*E1043&gt;50,"I","")
            )
        )
    ),
    IF(ISERROR(SEARCH("valvola di sicurezza",A1043))=FALSE,"IV","")
)</f>
        <v>IV</v>
      </c>
    </row>
    <row r="1044" spans="1:7" x14ac:dyDescent="0.3">
      <c r="A1044" t="s">
        <v>7</v>
      </c>
      <c r="B1044" t="s">
        <v>903</v>
      </c>
      <c r="C1044" s="2" t="s">
        <v>906</v>
      </c>
      <c r="D1044" s="1">
        <v>725</v>
      </c>
      <c r="E1044" s="1">
        <v>10.8</v>
      </c>
      <c r="F1044" s="4" t="s">
        <v>31</v>
      </c>
      <c r="G1044" s="1" t="str">
        <f>IF(OR(ISERROR(SEARCH("recipiente",A1044))=FALSE, ISERROR(SEARCH("serbatoio",A1044))=FALSE, ISERROR(SEARCH("scambiatore",A1044))=FALSE),
    IF(D1044*E1044&gt;3000,"IV",
        IF(D1044*E1044&gt;1000,"III",
            IF(D1044*E1044&gt;200,"II",
                IF(D1044*E1044&gt;50,"I","")
            )
        )
    ),
    IF(ISERROR(SEARCH("valvola di sicurezza",A1044))=FALSE,"IV","")
)</f>
        <v>IV</v>
      </c>
    </row>
    <row r="1045" spans="1:7" x14ac:dyDescent="0.3">
      <c r="A1045" t="s">
        <v>7</v>
      </c>
      <c r="B1045" t="s">
        <v>903</v>
      </c>
      <c r="C1045" s="2" t="s">
        <v>907</v>
      </c>
      <c r="D1045" s="1">
        <v>725</v>
      </c>
      <c r="E1045" s="1">
        <v>11</v>
      </c>
      <c r="F1045" s="4" t="s">
        <v>10</v>
      </c>
      <c r="G1045" s="1" t="str">
        <f>IF(OR(ISERROR(SEARCH("recipiente",A1045))=FALSE, ISERROR(SEARCH("serbatoio",A1045))=FALSE, ISERROR(SEARCH("scambiatore",A1045))=FALSE),
    IF(D1045*E1045&gt;3000,"IV",
        IF(D1045*E1045&gt;1000,"III",
            IF(D1045*E1045&gt;200,"II",
                IF(D1045*E1045&gt;50,"I","")
            )
        )
    ),
    IF(ISERROR(SEARCH("valvola di sicurezza",A1045))=FALSE,"IV","")
)</f>
        <v>IV</v>
      </c>
    </row>
    <row r="1046" spans="1:7" x14ac:dyDescent="0.3">
      <c r="A1046" t="s">
        <v>7</v>
      </c>
      <c r="B1046" t="s">
        <v>903</v>
      </c>
      <c r="C1046" s="2" t="s">
        <v>908</v>
      </c>
      <c r="D1046" s="1">
        <v>725</v>
      </c>
      <c r="E1046" s="1">
        <v>10.8</v>
      </c>
      <c r="F1046" s="4" t="s">
        <v>31</v>
      </c>
      <c r="G1046" s="1" t="str">
        <f>IF(OR(ISERROR(SEARCH("recipiente",A1046))=FALSE, ISERROR(SEARCH("serbatoio",A1046))=FALSE, ISERROR(SEARCH("scambiatore",A1046))=FALSE),
    IF(D1046*E1046&gt;3000,"IV",
        IF(D1046*E1046&gt;1000,"III",
            IF(D1046*E1046&gt;200,"II",
                IF(D1046*E1046&gt;50,"I","")
            )
        )
    ),
    IF(ISERROR(SEARCH("valvola di sicurezza",A1046))=FALSE,"IV","")
)</f>
        <v>IV</v>
      </c>
    </row>
    <row r="1047" spans="1:7" x14ac:dyDescent="0.3">
      <c r="A1047" t="s">
        <v>7</v>
      </c>
      <c r="B1047" t="s">
        <v>903</v>
      </c>
      <c r="C1047" s="2" t="s">
        <v>908</v>
      </c>
      <c r="D1047" s="1">
        <v>725</v>
      </c>
      <c r="E1047" s="1">
        <v>10.8</v>
      </c>
      <c r="F1047" s="4" t="s">
        <v>31</v>
      </c>
      <c r="G1047" s="1" t="str">
        <f>IF(OR(ISERROR(SEARCH("recipiente",A1047))=FALSE, ISERROR(SEARCH("serbatoio",A1047))=FALSE, ISERROR(SEARCH("scambiatore",A1047))=FALSE),
    IF(D1047*E1047&gt;3000,"IV",
        IF(D1047*E1047&gt;1000,"III",
            IF(D1047*E1047&gt;200,"II",
                IF(D1047*E1047&gt;50,"I","")
            )
        )
    ),
    IF(ISERROR(SEARCH("valvola di sicurezza",A1047))=FALSE,"IV","")
)</f>
        <v>IV</v>
      </c>
    </row>
    <row r="1048" spans="1:7" x14ac:dyDescent="0.3">
      <c r="A1048" t="s">
        <v>7</v>
      </c>
      <c r="B1048" t="s">
        <v>903</v>
      </c>
      <c r="C1048" s="2" t="s">
        <v>909</v>
      </c>
      <c r="D1048" s="1">
        <v>500</v>
      </c>
      <c r="E1048" s="1">
        <v>16</v>
      </c>
      <c r="F1048" s="4" t="s">
        <v>10</v>
      </c>
      <c r="G1048" s="1" t="str">
        <f>IF(OR(ISERROR(SEARCH("recipiente",A1048))=FALSE, ISERROR(SEARCH("serbatoio",A1048))=FALSE, ISERROR(SEARCH("scambiatore",A1048))=FALSE),
    IF(D1048*E1048&gt;3000,"IV",
        IF(D1048*E1048&gt;1000,"III",
            IF(D1048*E1048&gt;200,"II",
                IF(D1048*E1048&gt;50,"I","")
            )
        )
    ),
    IF(ISERROR(SEARCH("valvola di sicurezza",A1048))=FALSE,"IV","")
)</f>
        <v>IV</v>
      </c>
    </row>
    <row r="1049" spans="1:7" x14ac:dyDescent="0.3">
      <c r="A1049" t="s">
        <v>7</v>
      </c>
      <c r="B1049" t="s">
        <v>903</v>
      </c>
      <c r="C1049" s="2" t="s">
        <v>910</v>
      </c>
      <c r="D1049" s="1">
        <v>500</v>
      </c>
      <c r="E1049" s="1">
        <v>16</v>
      </c>
      <c r="F1049" s="4" t="s">
        <v>10</v>
      </c>
      <c r="G1049" s="1" t="str">
        <f>IF(OR(ISERROR(SEARCH("recipiente",A1049))=FALSE, ISERROR(SEARCH("serbatoio",A1049))=FALSE, ISERROR(SEARCH("scambiatore",A1049))=FALSE),
    IF(D1049*E1049&gt;3000,"IV",
        IF(D1049*E1049&gt;1000,"III",
            IF(D1049*E1049&gt;200,"II",
                IF(D1049*E1049&gt;50,"I","")
            )
        )
    ),
    IF(ISERROR(SEARCH("valvola di sicurezza",A1049))=FALSE,"IV","")
)</f>
        <v>IV</v>
      </c>
    </row>
    <row r="1050" spans="1:7" x14ac:dyDescent="0.3">
      <c r="A1050" t="s">
        <v>7</v>
      </c>
      <c r="B1050" t="s">
        <v>903</v>
      </c>
      <c r="C1050" s="2" t="s">
        <v>911</v>
      </c>
      <c r="D1050" s="1">
        <v>500</v>
      </c>
      <c r="E1050" s="1">
        <v>11</v>
      </c>
      <c r="F1050" s="4" t="s">
        <v>10</v>
      </c>
      <c r="G1050" s="1" t="str">
        <f>IF(OR(ISERROR(SEARCH("recipiente",A1050))=FALSE, ISERROR(SEARCH("serbatoio",A1050))=FALSE, ISERROR(SEARCH("scambiatore",A1050))=FALSE),
    IF(D1050*E1050&gt;3000,"IV",
        IF(D1050*E1050&gt;1000,"III",
            IF(D1050*E1050&gt;200,"II",
                IF(D1050*E1050&gt;50,"I","")
            )
        )
    ),
    IF(ISERROR(SEARCH("valvola di sicurezza",A1050))=FALSE,"IV","")
)</f>
        <v>IV</v>
      </c>
    </row>
    <row r="1051" spans="1:7" x14ac:dyDescent="0.3">
      <c r="A1051" t="s">
        <v>7</v>
      </c>
      <c r="B1051" t="s">
        <v>903</v>
      </c>
      <c r="C1051" s="2" t="s">
        <v>912</v>
      </c>
      <c r="D1051" s="1">
        <v>500</v>
      </c>
      <c r="E1051" s="1">
        <v>11</v>
      </c>
      <c r="F1051" s="4" t="s">
        <v>31</v>
      </c>
      <c r="G1051" s="1" t="str">
        <f>IF(OR(ISERROR(SEARCH("recipiente",A1051))=FALSE, ISERROR(SEARCH("serbatoio",A1051))=FALSE, ISERROR(SEARCH("scambiatore",A1051))=FALSE),
    IF(D1051*E1051&gt;3000,"IV",
        IF(D1051*E1051&gt;1000,"III",
            IF(D1051*E1051&gt;200,"II",
                IF(D1051*E1051&gt;50,"I","")
            )
        )
    ),
    IF(ISERROR(SEARCH("valvola di sicurezza",A1051))=FALSE,"IV","")
)</f>
        <v>IV</v>
      </c>
    </row>
    <row r="1052" spans="1:7" x14ac:dyDescent="0.3">
      <c r="A1052" t="s">
        <v>7</v>
      </c>
      <c r="B1052" t="s">
        <v>903</v>
      </c>
      <c r="C1052" s="2" t="s">
        <v>913</v>
      </c>
      <c r="D1052" s="1">
        <v>270</v>
      </c>
      <c r="E1052" s="1">
        <v>11</v>
      </c>
      <c r="F1052" s="4" t="s">
        <v>10</v>
      </c>
      <c r="G1052" s="1" t="str">
        <f>IF(OR(ISERROR(SEARCH("recipiente",A1052))=FALSE, ISERROR(SEARCH("serbatoio",A1052))=FALSE, ISERROR(SEARCH("scambiatore",A1052))=FALSE),
    IF(D1052*E1052&gt;3000,"IV",
        IF(D1052*E1052&gt;1000,"III",
            IF(D1052*E1052&gt;200,"II",
                IF(D1052*E1052&gt;50,"I","")
            )
        )
    ),
    IF(ISERROR(SEARCH("valvola di sicurezza",A1052))=FALSE,"IV","")
)</f>
        <v>III</v>
      </c>
    </row>
    <row r="1053" spans="1:7" x14ac:dyDescent="0.3">
      <c r="A1053" t="s">
        <v>7</v>
      </c>
      <c r="B1053" t="s">
        <v>903</v>
      </c>
      <c r="C1053" s="2" t="s">
        <v>914</v>
      </c>
      <c r="D1053" s="1">
        <v>900</v>
      </c>
      <c r="E1053" s="1">
        <v>11</v>
      </c>
      <c r="F1053" s="4" t="s">
        <v>10</v>
      </c>
      <c r="G1053" s="1" t="str">
        <f>IF(OR(ISERROR(SEARCH("recipiente",A1053))=FALSE, ISERROR(SEARCH("serbatoio",A1053))=FALSE, ISERROR(SEARCH("scambiatore",A1053))=FALSE),
    IF(D1053*E1053&gt;3000,"IV",
        IF(D1053*E1053&gt;1000,"III",
            IF(D1053*E1053&gt;200,"II",
                IF(D1053*E1053&gt;50,"I","")
            )
        )
    ),
    IF(ISERROR(SEARCH("valvola di sicurezza",A1053))=FALSE,"IV","")
)</f>
        <v>IV</v>
      </c>
    </row>
    <row r="1054" spans="1:7" x14ac:dyDescent="0.3">
      <c r="A1054" t="s">
        <v>7</v>
      </c>
      <c r="B1054" t="s">
        <v>903</v>
      </c>
      <c r="C1054" s="2" t="s">
        <v>915</v>
      </c>
      <c r="D1054" s="1">
        <v>2000</v>
      </c>
      <c r="E1054" s="1">
        <v>11.5</v>
      </c>
      <c r="F1054" s="4" t="s">
        <v>31</v>
      </c>
      <c r="G1054" s="1" t="str">
        <f>IF(OR(ISERROR(SEARCH("recipiente",A1054))=FALSE, ISERROR(SEARCH("serbatoio",A1054))=FALSE, ISERROR(SEARCH("scambiatore",A1054))=FALSE),
    IF(D1054*E1054&gt;3000,"IV",
        IF(D1054*E1054&gt;1000,"III",
            IF(D1054*E1054&gt;200,"II",
                IF(D1054*E1054&gt;50,"I","")
            )
        )
    ),
    IF(ISERROR(SEARCH("valvola di sicurezza",A1054))=FALSE,"IV","")
)</f>
        <v>IV</v>
      </c>
    </row>
    <row r="1055" spans="1:7" x14ac:dyDescent="0.3">
      <c r="A1055" t="s">
        <v>7</v>
      </c>
      <c r="B1055" t="s">
        <v>903</v>
      </c>
      <c r="C1055" s="2" t="s">
        <v>916</v>
      </c>
      <c r="D1055" s="1">
        <v>2000</v>
      </c>
      <c r="E1055" s="1">
        <v>11.5</v>
      </c>
      <c r="F1055" s="4" t="s">
        <v>10</v>
      </c>
      <c r="G1055" s="1" t="str">
        <f>IF(OR(ISERROR(SEARCH("recipiente",A1055))=FALSE, ISERROR(SEARCH("serbatoio",A1055))=FALSE, ISERROR(SEARCH("scambiatore",A1055))=FALSE),
    IF(D1055*E1055&gt;3000,"IV",
        IF(D1055*E1055&gt;1000,"III",
            IF(D1055*E1055&gt;200,"II",
                IF(D1055*E1055&gt;50,"I","")
            )
        )
    ),
    IF(ISERROR(SEARCH("valvola di sicurezza",A1055))=FALSE,"IV","")
)</f>
        <v>IV</v>
      </c>
    </row>
    <row r="1056" spans="1:7" x14ac:dyDescent="0.3">
      <c r="A1056" t="s">
        <v>7</v>
      </c>
      <c r="B1056" t="s">
        <v>903</v>
      </c>
      <c r="C1056" s="2" t="s">
        <v>917</v>
      </c>
      <c r="D1056" s="1">
        <v>2000</v>
      </c>
      <c r="E1056" s="1">
        <v>11.5</v>
      </c>
      <c r="F1056" s="4" t="s">
        <v>10</v>
      </c>
      <c r="G1056" s="1" t="str">
        <f>IF(OR(ISERROR(SEARCH("recipiente",A1056))=FALSE, ISERROR(SEARCH("serbatoio",A1056))=FALSE, ISERROR(SEARCH("scambiatore",A1056))=FALSE),
    IF(D1056*E1056&gt;3000,"IV",
        IF(D1056*E1056&gt;1000,"III",
            IF(D1056*E1056&gt;200,"II",
                IF(D1056*E1056&gt;50,"I","")
            )
        )
    ),
    IF(ISERROR(SEARCH("valvola di sicurezza",A1056))=FALSE,"IV","")
)</f>
        <v>IV</v>
      </c>
    </row>
    <row r="1057" spans="1:7" x14ac:dyDescent="0.3">
      <c r="A1057" t="s">
        <v>7</v>
      </c>
      <c r="B1057" t="s">
        <v>903</v>
      </c>
      <c r="C1057" s="2" t="s">
        <v>918</v>
      </c>
      <c r="D1057" s="1">
        <v>2000</v>
      </c>
      <c r="E1057" s="1">
        <v>11.5</v>
      </c>
      <c r="F1057" s="4" t="s">
        <v>10</v>
      </c>
      <c r="G1057" s="1" t="str">
        <f>IF(OR(ISERROR(SEARCH("recipiente",A1057))=FALSE, ISERROR(SEARCH("serbatoio",A1057))=FALSE, ISERROR(SEARCH("scambiatore",A1057))=FALSE),
    IF(D1057*E1057&gt;3000,"IV",
        IF(D1057*E1057&gt;1000,"III",
            IF(D1057*E1057&gt;200,"II",
                IF(D1057*E1057&gt;50,"I","")
            )
        )
    ),
    IF(ISERROR(SEARCH("valvola di sicurezza",A1057))=FALSE,"IV","")
)</f>
        <v>IV</v>
      </c>
    </row>
    <row r="1058" spans="1:7" x14ac:dyDescent="0.3">
      <c r="A1058" t="s">
        <v>7</v>
      </c>
      <c r="B1058" t="s">
        <v>903</v>
      </c>
      <c r="C1058" s="2" t="s">
        <v>919</v>
      </c>
      <c r="D1058" s="1">
        <v>2000</v>
      </c>
      <c r="E1058" s="1">
        <v>11.5</v>
      </c>
      <c r="F1058" s="4" t="s">
        <v>10</v>
      </c>
      <c r="G1058" s="1" t="str">
        <f>IF(OR(ISERROR(SEARCH("recipiente",A1058))=FALSE, ISERROR(SEARCH("serbatoio",A1058))=FALSE, ISERROR(SEARCH("scambiatore",A1058))=FALSE),
    IF(D1058*E1058&gt;3000,"IV",
        IF(D1058*E1058&gt;1000,"III",
            IF(D1058*E1058&gt;200,"II",
                IF(D1058*E1058&gt;50,"I","")
            )
        )
    ),
    IF(ISERROR(SEARCH("valvola di sicurezza",A1058))=FALSE,"IV","")
)</f>
        <v>IV</v>
      </c>
    </row>
    <row r="1059" spans="1:7" x14ac:dyDescent="0.3">
      <c r="A1059" t="s">
        <v>7</v>
      </c>
      <c r="B1059" t="s">
        <v>903</v>
      </c>
      <c r="C1059" s="2" t="s">
        <v>920</v>
      </c>
      <c r="D1059" s="1">
        <v>2000</v>
      </c>
      <c r="E1059" s="1">
        <v>11.5</v>
      </c>
      <c r="F1059" s="4" t="s">
        <v>10</v>
      </c>
      <c r="G1059" s="1" t="str">
        <f>IF(OR(ISERROR(SEARCH("recipiente",A1059))=FALSE, ISERROR(SEARCH("serbatoio",A1059))=FALSE, ISERROR(SEARCH("scambiatore",A1059))=FALSE),
    IF(D1059*E1059&gt;3000,"IV",
        IF(D1059*E1059&gt;1000,"III",
            IF(D1059*E1059&gt;200,"II",
                IF(D1059*E1059&gt;50,"I","")
            )
        )
    ),
    IF(ISERROR(SEARCH("valvola di sicurezza",A1059))=FALSE,"IV","")
)</f>
        <v>IV</v>
      </c>
    </row>
    <row r="1060" spans="1:7" x14ac:dyDescent="0.3">
      <c r="A1060" t="s">
        <v>7</v>
      </c>
      <c r="B1060" t="s">
        <v>903</v>
      </c>
      <c r="C1060" s="2" t="s">
        <v>921</v>
      </c>
      <c r="D1060" s="1">
        <v>2000</v>
      </c>
      <c r="E1060" s="1">
        <v>11.5</v>
      </c>
      <c r="F1060" s="4" t="s">
        <v>10</v>
      </c>
      <c r="G1060" s="1" t="str">
        <f>IF(OR(ISERROR(SEARCH("recipiente",A1060))=FALSE, ISERROR(SEARCH("serbatoio",A1060))=FALSE, ISERROR(SEARCH("scambiatore",A1060))=FALSE),
    IF(D1060*E1060&gt;3000,"IV",
        IF(D1060*E1060&gt;1000,"III",
            IF(D1060*E1060&gt;200,"II",
                IF(D1060*E1060&gt;50,"I","")
            )
        )
    ),
    IF(ISERROR(SEARCH("valvola di sicurezza",A1060))=FALSE,"IV","")
)</f>
        <v>IV</v>
      </c>
    </row>
    <row r="1061" spans="1:7" x14ac:dyDescent="0.3">
      <c r="A1061" t="s">
        <v>7</v>
      </c>
      <c r="B1061" t="s">
        <v>903</v>
      </c>
      <c r="C1061" s="2" t="s">
        <v>922</v>
      </c>
      <c r="D1061" s="1">
        <v>3000</v>
      </c>
      <c r="E1061" s="1">
        <v>11.5</v>
      </c>
      <c r="F1061" s="4" t="s">
        <v>10</v>
      </c>
      <c r="G1061" s="1" t="str">
        <f>IF(OR(ISERROR(SEARCH("recipiente",A1061))=FALSE, ISERROR(SEARCH("serbatoio",A1061))=FALSE, ISERROR(SEARCH("scambiatore",A1061))=FALSE),
    IF(D1061*E1061&gt;3000,"IV",
        IF(D1061*E1061&gt;1000,"III",
            IF(D1061*E1061&gt;200,"II",
                IF(D1061*E1061&gt;50,"I","")
            )
        )
    ),
    IF(ISERROR(SEARCH("valvola di sicurezza",A1061))=FALSE,"IV","")
)</f>
        <v>IV</v>
      </c>
    </row>
    <row r="1062" spans="1:7" x14ac:dyDescent="0.3">
      <c r="A1062" t="s">
        <v>7</v>
      </c>
      <c r="B1062" t="s">
        <v>903</v>
      </c>
      <c r="C1062" s="2" t="s">
        <v>923</v>
      </c>
      <c r="D1062" s="1">
        <v>3000</v>
      </c>
      <c r="E1062" s="1">
        <v>11.5</v>
      </c>
      <c r="F1062" s="4" t="s">
        <v>10</v>
      </c>
      <c r="G1062" s="1" t="str">
        <f>IF(OR(ISERROR(SEARCH("recipiente",A1062))=FALSE, ISERROR(SEARCH("serbatoio",A1062))=FALSE, ISERROR(SEARCH("scambiatore",A1062))=FALSE),
    IF(D1062*E1062&gt;3000,"IV",
        IF(D1062*E1062&gt;1000,"III",
            IF(D1062*E1062&gt;200,"II",
                IF(D1062*E1062&gt;50,"I","")
            )
        )
    ),
    IF(ISERROR(SEARCH("valvola di sicurezza",A1062))=FALSE,"IV","")
)</f>
        <v>IV</v>
      </c>
    </row>
    <row r="1063" spans="1:7" x14ac:dyDescent="0.3">
      <c r="A1063" t="s">
        <v>7</v>
      </c>
      <c r="B1063" t="s">
        <v>903</v>
      </c>
      <c r="C1063" s="2" t="s">
        <v>924</v>
      </c>
      <c r="D1063" s="1">
        <v>4000</v>
      </c>
      <c r="E1063" s="1">
        <v>11.5</v>
      </c>
      <c r="F1063" s="4" t="s">
        <v>10</v>
      </c>
      <c r="G1063" s="1" t="str">
        <f>IF(OR(ISERROR(SEARCH("recipiente",A1063))=FALSE, ISERROR(SEARCH("serbatoio",A1063))=FALSE, ISERROR(SEARCH("scambiatore",A1063))=FALSE),
    IF(D1063*E1063&gt;3000,"IV",
        IF(D1063*E1063&gt;1000,"III",
            IF(D1063*E1063&gt;200,"II",
                IF(D1063*E1063&gt;50,"I","")
            )
        )
    ),
    IF(ISERROR(SEARCH("valvola di sicurezza",A1063))=FALSE,"IV","")
)</f>
        <v>IV</v>
      </c>
    </row>
    <row r="1064" spans="1:7" x14ac:dyDescent="0.3">
      <c r="A1064" t="s">
        <v>7</v>
      </c>
      <c r="B1064" t="s">
        <v>903</v>
      </c>
      <c r="C1064" s="2" t="s">
        <v>925</v>
      </c>
      <c r="D1064" s="1">
        <v>1500</v>
      </c>
      <c r="E1064" s="1">
        <v>11.5</v>
      </c>
      <c r="F1064" s="4" t="s">
        <v>10</v>
      </c>
      <c r="G1064" s="1" t="str">
        <f>IF(OR(ISERROR(SEARCH("recipiente",A1064))=FALSE, ISERROR(SEARCH("serbatoio",A1064))=FALSE, ISERROR(SEARCH("scambiatore",A1064))=FALSE),
    IF(D1064*E1064&gt;3000,"IV",
        IF(D1064*E1064&gt;1000,"III",
            IF(D1064*E1064&gt;200,"II",
                IF(D1064*E1064&gt;50,"I","")
            )
        )
    ),
    IF(ISERROR(SEARCH("valvola di sicurezza",A1064))=FALSE,"IV","")
)</f>
        <v>IV</v>
      </c>
    </row>
    <row r="1065" spans="1:7" x14ac:dyDescent="0.3">
      <c r="A1065" t="s">
        <v>7</v>
      </c>
      <c r="B1065" t="s">
        <v>903</v>
      </c>
      <c r="C1065" s="2" t="s">
        <v>926</v>
      </c>
      <c r="D1065" s="1">
        <v>1000</v>
      </c>
      <c r="E1065" s="1">
        <v>11.5</v>
      </c>
      <c r="F1065" s="4" t="s">
        <v>10</v>
      </c>
      <c r="G1065" s="1" t="str">
        <f>IF(OR(ISERROR(SEARCH("recipiente",A1065))=FALSE, ISERROR(SEARCH("serbatoio",A1065))=FALSE, ISERROR(SEARCH("scambiatore",A1065))=FALSE),
    IF(D1065*E1065&gt;3000,"IV",
        IF(D1065*E1065&gt;1000,"III",
            IF(D1065*E1065&gt;200,"II",
                IF(D1065*E1065&gt;50,"I","")
            )
        )
    ),
    IF(ISERROR(SEARCH("valvola di sicurezza",A1065))=FALSE,"IV","")
)</f>
        <v>IV</v>
      </c>
    </row>
    <row r="1066" spans="1:7" x14ac:dyDescent="0.3">
      <c r="A1066" t="s">
        <v>7</v>
      </c>
      <c r="B1066" t="s">
        <v>903</v>
      </c>
      <c r="C1066" s="2" t="s">
        <v>927</v>
      </c>
      <c r="D1066" s="1">
        <v>1000</v>
      </c>
      <c r="E1066" s="1">
        <v>11.5</v>
      </c>
      <c r="F1066" s="4" t="s">
        <v>10</v>
      </c>
      <c r="G1066" s="1" t="str">
        <f>IF(OR(ISERROR(SEARCH("recipiente",A1066))=FALSE, ISERROR(SEARCH("serbatoio",A1066))=FALSE, ISERROR(SEARCH("scambiatore",A1066))=FALSE),
    IF(D1066*E1066&gt;3000,"IV",
        IF(D1066*E1066&gt;1000,"III",
            IF(D1066*E1066&gt;200,"II",
                IF(D1066*E1066&gt;50,"I","")
            )
        )
    ),
    IF(ISERROR(SEARCH("valvola di sicurezza",A1066))=FALSE,"IV","")
)</f>
        <v>IV</v>
      </c>
    </row>
    <row r="1067" spans="1:7" x14ac:dyDescent="0.3">
      <c r="A1067" t="s">
        <v>7</v>
      </c>
      <c r="B1067" t="s">
        <v>903</v>
      </c>
      <c r="C1067" s="2" t="s">
        <v>928</v>
      </c>
      <c r="D1067" s="1">
        <v>10000</v>
      </c>
      <c r="E1067" s="1">
        <v>11.5</v>
      </c>
      <c r="F1067" s="4" t="s">
        <v>10</v>
      </c>
      <c r="G1067" s="1" t="str">
        <f>IF(OR(ISERROR(SEARCH("recipiente",A1067))=FALSE, ISERROR(SEARCH("serbatoio",A1067))=FALSE, ISERROR(SEARCH("scambiatore",A1067))=FALSE),
    IF(D1067*E1067&gt;3000,"IV",
        IF(D1067*E1067&gt;1000,"III",
            IF(D1067*E1067&gt;200,"II",
                IF(D1067*E1067&gt;50,"I","")
            )
        )
    ),
    IF(ISERROR(SEARCH("valvola di sicurezza",A1067))=FALSE,"IV","")
)</f>
        <v>IV</v>
      </c>
    </row>
    <row r="1068" spans="1:7" x14ac:dyDescent="0.3">
      <c r="A1068" t="s">
        <v>7</v>
      </c>
      <c r="B1068" t="s">
        <v>903</v>
      </c>
      <c r="C1068" s="2" t="s">
        <v>929</v>
      </c>
      <c r="D1068" s="1">
        <v>1000</v>
      </c>
      <c r="E1068" s="1">
        <v>8</v>
      </c>
      <c r="F1068" s="4" t="s">
        <v>31</v>
      </c>
      <c r="G1068" s="1" t="str">
        <f>IF(OR(ISERROR(SEARCH("recipiente",A1068))=FALSE, ISERROR(SEARCH("serbatoio",A1068))=FALSE, ISERROR(SEARCH("scambiatore",A1068))=FALSE),
    IF(D1068*E1068&gt;3000,"IV",
        IF(D1068*E1068&gt;1000,"III",
            IF(D1068*E1068&gt;200,"II",
                IF(D1068*E1068&gt;50,"I","")
            )
        )
    ),
    IF(ISERROR(SEARCH("valvola di sicurezza",A1068))=FALSE,"IV","")
)</f>
        <v>IV</v>
      </c>
    </row>
    <row r="1069" spans="1:7" x14ac:dyDescent="0.3">
      <c r="A1069" t="s">
        <v>7</v>
      </c>
      <c r="B1069" t="s">
        <v>903</v>
      </c>
      <c r="C1069" s="2" t="s">
        <v>930</v>
      </c>
      <c r="D1069" s="1">
        <v>1000</v>
      </c>
      <c r="E1069" s="1">
        <v>16</v>
      </c>
      <c r="F1069" s="4" t="s">
        <v>10</v>
      </c>
      <c r="G1069" s="1" t="str">
        <f>IF(OR(ISERROR(SEARCH("recipiente",A1069))=FALSE, ISERROR(SEARCH("serbatoio",A1069))=FALSE, ISERROR(SEARCH("scambiatore",A1069))=FALSE),
    IF(D1069*E1069&gt;3000,"IV",
        IF(D1069*E1069&gt;1000,"III",
            IF(D1069*E1069&gt;200,"II",
                IF(D1069*E1069&gt;50,"I","")
            )
        )
    ),
    IF(ISERROR(SEARCH("valvola di sicurezza",A1069))=FALSE,"IV","")
)</f>
        <v>IV</v>
      </c>
    </row>
    <row r="1070" spans="1:7" x14ac:dyDescent="0.3">
      <c r="A1070" t="s">
        <v>7</v>
      </c>
      <c r="B1070" t="s">
        <v>903</v>
      </c>
      <c r="C1070" s="2" t="s">
        <v>931</v>
      </c>
      <c r="D1070" s="1">
        <v>5000</v>
      </c>
      <c r="E1070" s="1">
        <v>11.5</v>
      </c>
      <c r="F1070" s="4" t="s">
        <v>10</v>
      </c>
      <c r="G1070" s="1" t="str">
        <f>IF(OR(ISERROR(SEARCH("recipiente",A1070))=FALSE, ISERROR(SEARCH("serbatoio",A1070))=FALSE, ISERROR(SEARCH("scambiatore",A1070))=FALSE),
    IF(D1070*E1070&gt;3000,"IV",
        IF(D1070*E1070&gt;1000,"III",
            IF(D1070*E1070&gt;200,"II",
                IF(D1070*E1070&gt;50,"I","")
            )
        )
    ),
    IF(ISERROR(SEARCH("valvola di sicurezza",A1070))=FALSE,"IV","")
)</f>
        <v>IV</v>
      </c>
    </row>
    <row r="1071" spans="1:7" x14ac:dyDescent="0.3">
      <c r="A1071" t="s">
        <v>7</v>
      </c>
      <c r="B1071" t="s">
        <v>903</v>
      </c>
      <c r="C1071" s="2" t="s">
        <v>932</v>
      </c>
      <c r="D1071" s="1">
        <v>725</v>
      </c>
      <c r="E1071" s="1">
        <v>10.8</v>
      </c>
      <c r="F1071" s="4" t="s">
        <v>31</v>
      </c>
      <c r="G1071" s="1" t="str">
        <f>IF(OR(ISERROR(SEARCH("recipiente",A1071))=FALSE, ISERROR(SEARCH("serbatoio",A1071))=FALSE, ISERROR(SEARCH("scambiatore",A1071))=FALSE),
    IF(D1071*E1071&gt;3000,"IV",
        IF(D1071*E1071&gt;1000,"III",
            IF(D1071*E1071&gt;200,"II",
                IF(D1071*E1071&gt;50,"I","")
            )
        )
    ),
    IF(ISERROR(SEARCH("valvola di sicurezza",A1071))=FALSE,"IV","")
)</f>
        <v>IV</v>
      </c>
    </row>
    <row r="1072" spans="1:7" x14ac:dyDescent="0.3">
      <c r="A1072" t="s">
        <v>7</v>
      </c>
      <c r="B1072" t="s">
        <v>903</v>
      </c>
      <c r="C1072" s="2" t="s">
        <v>933</v>
      </c>
      <c r="D1072" s="1">
        <v>500</v>
      </c>
      <c r="E1072" s="1">
        <v>42</v>
      </c>
      <c r="F1072" s="4" t="s">
        <v>31</v>
      </c>
      <c r="G1072" s="1" t="str">
        <f>IF(OR(ISERROR(SEARCH("recipiente",A1072))=FALSE, ISERROR(SEARCH("serbatoio",A1072))=FALSE, ISERROR(SEARCH("scambiatore",A1072))=FALSE),
    IF(D1072*E1072&gt;3000,"IV",
        IF(D1072*E1072&gt;1000,"III",
            IF(D1072*E1072&gt;200,"II",
                IF(D1072*E1072&gt;50,"I","")
            )
        )
    ),
    IF(ISERROR(SEARCH("valvola di sicurezza",A1072))=FALSE,"IV","")
)</f>
        <v>IV</v>
      </c>
    </row>
    <row r="1073" spans="1:7" x14ac:dyDescent="0.3">
      <c r="A1073" t="s">
        <v>7</v>
      </c>
      <c r="B1073" t="s">
        <v>903</v>
      </c>
      <c r="C1073" s="2" t="s">
        <v>934</v>
      </c>
      <c r="D1073" s="1">
        <v>200</v>
      </c>
      <c r="E1073" s="1">
        <v>15</v>
      </c>
      <c r="F1073" s="4" t="s">
        <v>10</v>
      </c>
      <c r="G1073" s="1" t="str">
        <f>IF(OR(ISERROR(SEARCH("recipiente",A1073))=FALSE, ISERROR(SEARCH("serbatoio",A1073))=FALSE, ISERROR(SEARCH("scambiatore",A1073))=FALSE),
    IF(D1073*E1073&gt;3000,"IV",
        IF(D1073*E1073&gt;1000,"III",
            IF(D1073*E1073&gt;200,"II",
                IF(D1073*E1073&gt;50,"I","")
            )
        )
    ),
    IF(ISERROR(SEARCH("valvola di sicurezza",A1073))=FALSE,"IV","")
)</f>
        <v>III</v>
      </c>
    </row>
    <row r="1074" spans="1:7" x14ac:dyDescent="0.3">
      <c r="A1074" t="s">
        <v>33</v>
      </c>
      <c r="B1074" t="s">
        <v>903</v>
      </c>
      <c r="C1074" s="2" t="s">
        <v>935</v>
      </c>
      <c r="D1074" s="1">
        <v>185</v>
      </c>
      <c r="E1074" s="1">
        <v>16</v>
      </c>
      <c r="F1074" s="4" t="s">
        <v>10</v>
      </c>
      <c r="G1074" s="1" t="str">
        <f>IF(OR(ISERROR(SEARCH("recipiente",A1074))=FALSE, ISERROR(SEARCH("serbatoio",A1074))=FALSE, ISERROR(SEARCH("scambiatore",A1074))=FALSE),
    IF(D1074*E1074&gt;3000,"IV",
        IF(D1074*E1074&gt;1000,"III",
            IF(D1074*E1074&gt;200,"II",
                IF(D1074*E1074&gt;50,"I","")
            )
        )
    ),
    IF(ISERROR(SEARCH("valvola di sicurezza",A1074))=FALSE,"IV","")
)</f>
        <v>III</v>
      </c>
    </row>
    <row r="1075" spans="1:7" x14ac:dyDescent="0.3">
      <c r="A1075" t="s">
        <v>33</v>
      </c>
      <c r="B1075" t="s">
        <v>903</v>
      </c>
      <c r="C1075" s="2" t="s">
        <v>936</v>
      </c>
      <c r="D1075" s="1">
        <v>65</v>
      </c>
      <c r="E1075" s="1">
        <v>16</v>
      </c>
      <c r="F1075" s="4" t="s">
        <v>10</v>
      </c>
      <c r="G1075" s="1" t="str">
        <f>IF(OR(ISERROR(SEARCH("recipiente",A1075))=FALSE, ISERROR(SEARCH("serbatoio",A1075))=FALSE, ISERROR(SEARCH("scambiatore",A1075))=FALSE),
    IF(D1075*E1075&gt;3000,"IV",
        IF(D1075*E1075&gt;1000,"III",
            IF(D1075*E1075&gt;200,"II",
                IF(D1075*E1075&gt;50,"I","")
            )
        )
    ),
    IF(ISERROR(SEARCH("valvola di sicurezza",A1075))=FALSE,"IV","")
)</f>
        <v>III</v>
      </c>
    </row>
    <row r="1076" spans="1:7" x14ac:dyDescent="0.3">
      <c r="A1076" t="s">
        <v>33</v>
      </c>
      <c r="B1076" t="s">
        <v>903</v>
      </c>
      <c r="C1076" s="2" t="s">
        <v>937</v>
      </c>
      <c r="D1076" s="1">
        <v>55</v>
      </c>
      <c r="E1076" s="1">
        <v>16</v>
      </c>
      <c r="F1076" s="4" t="s">
        <v>10</v>
      </c>
      <c r="G1076" s="1" t="str">
        <f>IF(OR(ISERROR(SEARCH("recipiente",A1076))=FALSE, ISERROR(SEARCH("serbatoio",A1076))=FALSE, ISERROR(SEARCH("scambiatore",A1076))=FALSE),
    IF(D1076*E1076&gt;3000,"IV",
        IF(D1076*E1076&gt;1000,"III",
            IF(D1076*E1076&gt;200,"II",
                IF(D1076*E1076&gt;50,"I","")
            )
        )
    ),
    IF(ISERROR(SEARCH("valvola di sicurezza",A1076))=FALSE,"IV","")
)</f>
        <v>II</v>
      </c>
    </row>
    <row r="1077" spans="1:7" x14ac:dyDescent="0.3">
      <c r="A1077" t="s">
        <v>33</v>
      </c>
      <c r="B1077" t="s">
        <v>903</v>
      </c>
      <c r="C1077" s="2" t="s">
        <v>938</v>
      </c>
      <c r="D1077" s="1">
        <v>30</v>
      </c>
      <c r="E1077" s="1">
        <v>16</v>
      </c>
      <c r="F1077" s="4" t="s">
        <v>10</v>
      </c>
      <c r="G1077" s="1" t="str">
        <f>IF(OR(ISERROR(SEARCH("recipiente",A1077))=FALSE, ISERROR(SEARCH("serbatoio",A1077))=FALSE, ISERROR(SEARCH("scambiatore",A1077))=FALSE),
    IF(D1077*E1077&gt;3000,"IV",
        IF(D1077*E1077&gt;1000,"III",
            IF(D1077*E1077&gt;200,"II",
                IF(D1077*E1077&gt;50,"I","")
            )
        )
    ),
    IF(ISERROR(SEARCH("valvola di sicurezza",A1077))=FALSE,"IV","")
)</f>
        <v>II</v>
      </c>
    </row>
    <row r="1078" spans="1:7" x14ac:dyDescent="0.3">
      <c r="A1078" t="s">
        <v>33</v>
      </c>
      <c r="B1078" t="s">
        <v>903</v>
      </c>
      <c r="C1078" s="2" t="s">
        <v>939</v>
      </c>
      <c r="D1078" s="1">
        <v>30</v>
      </c>
      <c r="E1078" s="1">
        <v>16</v>
      </c>
      <c r="F1078" s="4" t="s">
        <v>10</v>
      </c>
      <c r="G1078" s="1" t="str">
        <f>IF(OR(ISERROR(SEARCH("recipiente",A1078))=FALSE, ISERROR(SEARCH("serbatoio",A1078))=FALSE, ISERROR(SEARCH("scambiatore",A1078))=FALSE),
    IF(D1078*E1078&gt;3000,"IV",
        IF(D1078*E1078&gt;1000,"III",
            IF(D1078*E1078&gt;200,"II",
                IF(D1078*E1078&gt;50,"I","")
            )
        )
    ),
    IF(ISERROR(SEARCH("valvola di sicurezza",A1078))=FALSE,"IV","")
)</f>
        <v>II</v>
      </c>
    </row>
    <row r="1079" spans="1:7" x14ac:dyDescent="0.3">
      <c r="A1079" t="s">
        <v>33</v>
      </c>
      <c r="B1079" t="s">
        <v>903</v>
      </c>
      <c r="C1079" s="2" t="s">
        <v>940</v>
      </c>
      <c r="D1079" s="1">
        <v>115</v>
      </c>
      <c r="E1079" s="1">
        <v>16</v>
      </c>
      <c r="F1079" s="4" t="s">
        <v>10</v>
      </c>
      <c r="G1079" s="1" t="str">
        <f>IF(OR(ISERROR(SEARCH("recipiente",A1079))=FALSE, ISERROR(SEARCH("serbatoio",A1079))=FALSE, ISERROR(SEARCH("scambiatore",A1079))=FALSE),
    IF(D1079*E1079&gt;3000,"IV",
        IF(D1079*E1079&gt;1000,"III",
            IF(D1079*E1079&gt;200,"II",
                IF(D1079*E1079&gt;50,"I","")
            )
        )
    ),
    IF(ISERROR(SEARCH("valvola di sicurezza",A1079))=FALSE,"IV","")
)</f>
        <v>III</v>
      </c>
    </row>
    <row r="1080" spans="1:7" x14ac:dyDescent="0.3">
      <c r="A1080" t="s">
        <v>33</v>
      </c>
      <c r="B1080" t="s">
        <v>903</v>
      </c>
      <c r="C1080" s="2" t="s">
        <v>941</v>
      </c>
      <c r="D1080" s="1">
        <v>30</v>
      </c>
      <c r="E1080" s="1">
        <v>15</v>
      </c>
      <c r="F1080" s="4" t="s">
        <v>10</v>
      </c>
      <c r="G1080" s="1" t="str">
        <f>IF(OR(ISERROR(SEARCH("recipiente",A1080))=FALSE, ISERROR(SEARCH("serbatoio",A1080))=FALSE, ISERROR(SEARCH("scambiatore",A1080))=FALSE),
    IF(D1080*E1080&gt;3000,"IV",
        IF(D1080*E1080&gt;1000,"III",
            IF(D1080*E1080&gt;200,"II",
                IF(D1080*E1080&gt;50,"I","")
            )
        )
    ),
    IF(ISERROR(SEARCH("valvola di sicurezza",A1080))=FALSE,"IV","")
)</f>
        <v>II</v>
      </c>
    </row>
    <row r="1081" spans="1:7" x14ac:dyDescent="0.3">
      <c r="A1081" t="s">
        <v>7</v>
      </c>
      <c r="B1081" t="s">
        <v>942</v>
      </c>
      <c r="C1081" s="2" t="s">
        <v>904</v>
      </c>
      <c r="D1081" s="1">
        <v>200</v>
      </c>
      <c r="E1081" s="1">
        <v>11</v>
      </c>
      <c r="F1081" s="4" t="s">
        <v>10</v>
      </c>
      <c r="G1081" s="1" t="str">
        <f>IF(OR(ISERROR(SEARCH("recipiente",A1081))=FALSE, ISERROR(SEARCH("serbatoio",A1081))=FALSE, ISERROR(SEARCH("scambiatore",A1081))=FALSE),
    IF(D1081*E1081&gt;3000,"IV",
        IF(D1081*E1081&gt;1000,"III",
            IF(D1081*E1081&gt;200,"II",
                IF(D1081*E1081&gt;50,"I","")
            )
        )
    ),
    IF(ISERROR(SEARCH("valvola di sicurezza",A1081))=FALSE,"IV","")
)</f>
        <v>III</v>
      </c>
    </row>
    <row r="1082" spans="1:7" x14ac:dyDescent="0.3">
      <c r="A1082" t="s">
        <v>7</v>
      </c>
      <c r="B1082" t="s">
        <v>942</v>
      </c>
      <c r="C1082" s="2" t="s">
        <v>905</v>
      </c>
      <c r="D1082" s="1">
        <v>800</v>
      </c>
      <c r="E1082" s="1">
        <v>9.81</v>
      </c>
      <c r="F1082" s="4" t="s">
        <v>31</v>
      </c>
      <c r="G1082" s="1" t="str">
        <f>IF(OR(ISERROR(SEARCH("recipiente",A1082))=FALSE, ISERROR(SEARCH("serbatoio",A1082))=FALSE, ISERROR(SEARCH("scambiatore",A1082))=FALSE),
    IF(D1082*E1082&gt;3000,"IV",
        IF(D1082*E1082&gt;1000,"III",
            IF(D1082*E1082&gt;200,"II",
                IF(D1082*E1082&gt;50,"I","")
            )
        )
    ),
    IF(ISERROR(SEARCH("valvola di sicurezza",A1082))=FALSE,"IV","")
)</f>
        <v>IV</v>
      </c>
    </row>
    <row r="1083" spans="1:7" x14ac:dyDescent="0.3">
      <c r="A1083" t="s">
        <v>7</v>
      </c>
      <c r="B1083" t="s">
        <v>942</v>
      </c>
      <c r="C1083" s="2" t="s">
        <v>906</v>
      </c>
      <c r="D1083" s="1">
        <v>725</v>
      </c>
      <c r="E1083" s="1">
        <v>10.8</v>
      </c>
      <c r="F1083" s="4" t="s">
        <v>31</v>
      </c>
      <c r="G1083" s="1" t="str">
        <f>IF(OR(ISERROR(SEARCH("recipiente",A1083))=FALSE, ISERROR(SEARCH("serbatoio",A1083))=FALSE, ISERROR(SEARCH("scambiatore",A1083))=FALSE),
    IF(D1083*E1083&gt;3000,"IV",
        IF(D1083*E1083&gt;1000,"III",
            IF(D1083*E1083&gt;200,"II",
                IF(D1083*E1083&gt;50,"I","")
            )
        )
    ),
    IF(ISERROR(SEARCH("valvola di sicurezza",A1083))=FALSE,"IV","")
)</f>
        <v>IV</v>
      </c>
    </row>
    <row r="1084" spans="1:7" x14ac:dyDescent="0.3">
      <c r="A1084" t="s">
        <v>7</v>
      </c>
      <c r="B1084" t="s">
        <v>942</v>
      </c>
      <c r="C1084" s="2" t="s">
        <v>907</v>
      </c>
      <c r="D1084" s="1">
        <v>725</v>
      </c>
      <c r="E1084" s="1">
        <v>11</v>
      </c>
      <c r="F1084" s="4" t="s">
        <v>10</v>
      </c>
      <c r="G1084" s="1" t="str">
        <f>IF(OR(ISERROR(SEARCH("recipiente",A1084))=FALSE, ISERROR(SEARCH("serbatoio",A1084))=FALSE, ISERROR(SEARCH("scambiatore",A1084))=FALSE),
    IF(D1084*E1084&gt;3000,"IV",
        IF(D1084*E1084&gt;1000,"III",
            IF(D1084*E1084&gt;200,"II",
                IF(D1084*E1084&gt;50,"I","")
            )
        )
    ),
    IF(ISERROR(SEARCH("valvola di sicurezza",A1084))=FALSE,"IV","")
)</f>
        <v>IV</v>
      </c>
    </row>
    <row r="1085" spans="1:7" x14ac:dyDescent="0.3">
      <c r="A1085" t="s">
        <v>7</v>
      </c>
      <c r="B1085" t="s">
        <v>942</v>
      </c>
      <c r="C1085" s="2" t="s">
        <v>908</v>
      </c>
      <c r="D1085" s="1">
        <v>725</v>
      </c>
      <c r="E1085" s="1">
        <v>10.8</v>
      </c>
      <c r="F1085" s="4" t="s">
        <v>31</v>
      </c>
      <c r="G1085" s="1" t="str">
        <f>IF(OR(ISERROR(SEARCH("recipiente",A1085))=FALSE, ISERROR(SEARCH("serbatoio",A1085))=FALSE, ISERROR(SEARCH("scambiatore",A1085))=FALSE),
    IF(D1085*E1085&gt;3000,"IV",
        IF(D1085*E1085&gt;1000,"III",
            IF(D1085*E1085&gt;200,"II",
                IF(D1085*E1085&gt;50,"I","")
            )
        )
    ),
    IF(ISERROR(SEARCH("valvola di sicurezza",A1085))=FALSE,"IV","")
)</f>
        <v>IV</v>
      </c>
    </row>
    <row r="1086" spans="1:7" x14ac:dyDescent="0.3">
      <c r="A1086" t="s">
        <v>7</v>
      </c>
      <c r="B1086" t="s">
        <v>942</v>
      </c>
      <c r="C1086" s="2" t="s">
        <v>908</v>
      </c>
      <c r="D1086" s="1">
        <v>725</v>
      </c>
      <c r="E1086" s="1">
        <v>10.8</v>
      </c>
      <c r="F1086" s="4" t="s">
        <v>31</v>
      </c>
      <c r="G1086" s="1" t="str">
        <f>IF(OR(ISERROR(SEARCH("recipiente",A1086))=FALSE, ISERROR(SEARCH("serbatoio",A1086))=FALSE, ISERROR(SEARCH("scambiatore",A1086))=FALSE),
    IF(D1086*E1086&gt;3000,"IV",
        IF(D1086*E1086&gt;1000,"III",
            IF(D1086*E1086&gt;200,"II",
                IF(D1086*E1086&gt;50,"I","")
            )
        )
    ),
    IF(ISERROR(SEARCH("valvola di sicurezza",A1086))=FALSE,"IV","")
)</f>
        <v>IV</v>
      </c>
    </row>
    <row r="1087" spans="1:7" x14ac:dyDescent="0.3">
      <c r="A1087" t="s">
        <v>7</v>
      </c>
      <c r="B1087" t="s">
        <v>942</v>
      </c>
      <c r="C1087" s="2" t="s">
        <v>909</v>
      </c>
      <c r="D1087" s="1">
        <v>500</v>
      </c>
      <c r="E1087" s="1">
        <v>16</v>
      </c>
      <c r="F1087" s="4" t="s">
        <v>10</v>
      </c>
      <c r="G1087" s="1" t="str">
        <f>IF(OR(ISERROR(SEARCH("recipiente",A1087))=FALSE, ISERROR(SEARCH("serbatoio",A1087))=FALSE, ISERROR(SEARCH("scambiatore",A1087))=FALSE),
    IF(D1087*E1087&gt;3000,"IV",
        IF(D1087*E1087&gt;1000,"III",
            IF(D1087*E1087&gt;200,"II",
                IF(D1087*E1087&gt;50,"I","")
            )
        )
    ),
    IF(ISERROR(SEARCH("valvola di sicurezza",A1087))=FALSE,"IV","")
)</f>
        <v>IV</v>
      </c>
    </row>
    <row r="1088" spans="1:7" x14ac:dyDescent="0.3">
      <c r="A1088" t="s">
        <v>7</v>
      </c>
      <c r="B1088" t="s">
        <v>942</v>
      </c>
      <c r="C1088" s="2" t="s">
        <v>910</v>
      </c>
      <c r="D1088" s="1">
        <v>500</v>
      </c>
      <c r="E1088" s="1">
        <v>16</v>
      </c>
      <c r="F1088" s="4" t="s">
        <v>10</v>
      </c>
      <c r="G1088" s="1" t="str">
        <f>IF(OR(ISERROR(SEARCH("recipiente",A1088))=FALSE, ISERROR(SEARCH("serbatoio",A1088))=FALSE, ISERROR(SEARCH("scambiatore",A1088))=FALSE),
    IF(D1088*E1088&gt;3000,"IV",
        IF(D1088*E1088&gt;1000,"III",
            IF(D1088*E1088&gt;200,"II",
                IF(D1088*E1088&gt;50,"I","")
            )
        )
    ),
    IF(ISERROR(SEARCH("valvola di sicurezza",A1088))=FALSE,"IV","")
)</f>
        <v>IV</v>
      </c>
    </row>
    <row r="1089" spans="1:7" x14ac:dyDescent="0.3">
      <c r="A1089" t="s">
        <v>7</v>
      </c>
      <c r="B1089" t="s">
        <v>942</v>
      </c>
      <c r="C1089" s="2" t="s">
        <v>911</v>
      </c>
      <c r="D1089" s="1">
        <v>500</v>
      </c>
      <c r="E1089" s="1">
        <v>11</v>
      </c>
      <c r="F1089" s="4" t="s">
        <v>10</v>
      </c>
      <c r="G1089" s="1" t="str">
        <f>IF(OR(ISERROR(SEARCH("recipiente",A1089))=FALSE, ISERROR(SEARCH("serbatoio",A1089))=FALSE, ISERROR(SEARCH("scambiatore",A1089))=FALSE),
    IF(D1089*E1089&gt;3000,"IV",
        IF(D1089*E1089&gt;1000,"III",
            IF(D1089*E1089&gt;200,"II",
                IF(D1089*E1089&gt;50,"I","")
            )
        )
    ),
    IF(ISERROR(SEARCH("valvola di sicurezza",A1089))=FALSE,"IV","")
)</f>
        <v>IV</v>
      </c>
    </row>
    <row r="1090" spans="1:7" x14ac:dyDescent="0.3">
      <c r="A1090" t="s">
        <v>7</v>
      </c>
      <c r="B1090" t="s">
        <v>942</v>
      </c>
      <c r="C1090" s="2" t="s">
        <v>912</v>
      </c>
      <c r="D1090" s="1">
        <v>500</v>
      </c>
      <c r="E1090" s="1">
        <v>11</v>
      </c>
      <c r="F1090" s="4" t="s">
        <v>31</v>
      </c>
      <c r="G1090" s="1" t="str">
        <f>IF(OR(ISERROR(SEARCH("recipiente",A1090))=FALSE, ISERROR(SEARCH("serbatoio",A1090))=FALSE, ISERROR(SEARCH("scambiatore",A1090))=FALSE),
    IF(D1090*E1090&gt;3000,"IV",
        IF(D1090*E1090&gt;1000,"III",
            IF(D1090*E1090&gt;200,"II",
                IF(D1090*E1090&gt;50,"I","")
            )
        )
    ),
    IF(ISERROR(SEARCH("valvola di sicurezza",A1090))=FALSE,"IV","")
)</f>
        <v>IV</v>
      </c>
    </row>
    <row r="1091" spans="1:7" x14ac:dyDescent="0.3">
      <c r="A1091" t="s">
        <v>7</v>
      </c>
      <c r="B1091" t="s">
        <v>942</v>
      </c>
      <c r="C1091" s="2" t="s">
        <v>913</v>
      </c>
      <c r="D1091" s="1">
        <v>270</v>
      </c>
      <c r="E1091" s="1">
        <v>11</v>
      </c>
      <c r="F1091" s="4" t="s">
        <v>10</v>
      </c>
      <c r="G1091" s="1" t="str">
        <f>IF(OR(ISERROR(SEARCH("recipiente",A1091))=FALSE, ISERROR(SEARCH("serbatoio",A1091))=FALSE, ISERROR(SEARCH("scambiatore",A1091))=FALSE),
    IF(D1091*E1091&gt;3000,"IV",
        IF(D1091*E1091&gt;1000,"III",
            IF(D1091*E1091&gt;200,"II",
                IF(D1091*E1091&gt;50,"I","")
            )
        )
    ),
    IF(ISERROR(SEARCH("valvola di sicurezza",A1091))=FALSE,"IV","")
)</f>
        <v>III</v>
      </c>
    </row>
    <row r="1092" spans="1:7" x14ac:dyDescent="0.3">
      <c r="A1092" t="s">
        <v>7</v>
      </c>
      <c r="B1092" t="s">
        <v>942</v>
      </c>
      <c r="C1092" s="2" t="s">
        <v>914</v>
      </c>
      <c r="D1092" s="1">
        <v>900</v>
      </c>
      <c r="E1092" s="1">
        <v>11</v>
      </c>
      <c r="F1092" s="4" t="s">
        <v>10</v>
      </c>
      <c r="G1092" s="1" t="str">
        <f>IF(OR(ISERROR(SEARCH("recipiente",A1092))=FALSE, ISERROR(SEARCH("serbatoio",A1092))=FALSE, ISERROR(SEARCH("scambiatore",A1092))=FALSE),
    IF(D1092*E1092&gt;3000,"IV",
        IF(D1092*E1092&gt;1000,"III",
            IF(D1092*E1092&gt;200,"II",
                IF(D1092*E1092&gt;50,"I","")
            )
        )
    ),
    IF(ISERROR(SEARCH("valvola di sicurezza",A1092))=FALSE,"IV","")
)</f>
        <v>IV</v>
      </c>
    </row>
    <row r="1093" spans="1:7" x14ac:dyDescent="0.3">
      <c r="A1093" t="s">
        <v>7</v>
      </c>
      <c r="B1093" t="s">
        <v>942</v>
      </c>
      <c r="C1093" s="2" t="s">
        <v>915</v>
      </c>
      <c r="D1093" s="1">
        <v>2000</v>
      </c>
      <c r="E1093" s="1">
        <v>11.5</v>
      </c>
      <c r="F1093" s="4" t="s">
        <v>31</v>
      </c>
      <c r="G1093" s="1" t="str">
        <f>IF(OR(ISERROR(SEARCH("recipiente",A1093))=FALSE, ISERROR(SEARCH("serbatoio",A1093))=FALSE, ISERROR(SEARCH("scambiatore",A1093))=FALSE),
    IF(D1093*E1093&gt;3000,"IV",
        IF(D1093*E1093&gt;1000,"III",
            IF(D1093*E1093&gt;200,"II",
                IF(D1093*E1093&gt;50,"I","")
            )
        )
    ),
    IF(ISERROR(SEARCH("valvola di sicurezza",A1093))=FALSE,"IV","")
)</f>
        <v>IV</v>
      </c>
    </row>
    <row r="1094" spans="1:7" x14ac:dyDescent="0.3">
      <c r="A1094" t="s">
        <v>7</v>
      </c>
      <c r="B1094" t="s">
        <v>942</v>
      </c>
      <c r="C1094" s="2" t="s">
        <v>916</v>
      </c>
      <c r="D1094" s="1">
        <v>2000</v>
      </c>
      <c r="E1094" s="1">
        <v>11.5</v>
      </c>
      <c r="F1094" s="4" t="s">
        <v>10</v>
      </c>
      <c r="G1094" s="1" t="str">
        <f>IF(OR(ISERROR(SEARCH("recipiente",A1094))=FALSE, ISERROR(SEARCH("serbatoio",A1094))=FALSE, ISERROR(SEARCH("scambiatore",A1094))=FALSE),
    IF(D1094*E1094&gt;3000,"IV",
        IF(D1094*E1094&gt;1000,"III",
            IF(D1094*E1094&gt;200,"II",
                IF(D1094*E1094&gt;50,"I","")
            )
        )
    ),
    IF(ISERROR(SEARCH("valvola di sicurezza",A1094))=FALSE,"IV","")
)</f>
        <v>IV</v>
      </c>
    </row>
    <row r="1095" spans="1:7" x14ac:dyDescent="0.3">
      <c r="A1095" t="s">
        <v>7</v>
      </c>
      <c r="B1095" t="s">
        <v>942</v>
      </c>
      <c r="C1095" s="2" t="s">
        <v>917</v>
      </c>
      <c r="D1095" s="1">
        <v>2000</v>
      </c>
      <c r="E1095" s="1">
        <v>11.5</v>
      </c>
      <c r="F1095" s="4" t="s">
        <v>10</v>
      </c>
      <c r="G1095" s="1" t="str">
        <f>IF(OR(ISERROR(SEARCH("recipiente",A1095))=FALSE, ISERROR(SEARCH("serbatoio",A1095))=FALSE, ISERROR(SEARCH("scambiatore",A1095))=FALSE),
    IF(D1095*E1095&gt;3000,"IV",
        IF(D1095*E1095&gt;1000,"III",
            IF(D1095*E1095&gt;200,"II",
                IF(D1095*E1095&gt;50,"I","")
            )
        )
    ),
    IF(ISERROR(SEARCH("valvola di sicurezza",A1095))=FALSE,"IV","")
)</f>
        <v>IV</v>
      </c>
    </row>
    <row r="1096" spans="1:7" x14ac:dyDescent="0.3">
      <c r="A1096" t="s">
        <v>7</v>
      </c>
      <c r="B1096" t="s">
        <v>942</v>
      </c>
      <c r="C1096" s="2" t="s">
        <v>918</v>
      </c>
      <c r="D1096" s="1">
        <v>2000</v>
      </c>
      <c r="E1096" s="1">
        <v>11.5</v>
      </c>
      <c r="F1096" s="4" t="s">
        <v>10</v>
      </c>
      <c r="G1096" s="1" t="str">
        <f>IF(OR(ISERROR(SEARCH("recipiente",A1096))=FALSE, ISERROR(SEARCH("serbatoio",A1096))=FALSE, ISERROR(SEARCH("scambiatore",A1096))=FALSE),
    IF(D1096*E1096&gt;3000,"IV",
        IF(D1096*E1096&gt;1000,"III",
            IF(D1096*E1096&gt;200,"II",
                IF(D1096*E1096&gt;50,"I","")
            )
        )
    ),
    IF(ISERROR(SEARCH("valvola di sicurezza",A1096))=FALSE,"IV","")
)</f>
        <v>IV</v>
      </c>
    </row>
    <row r="1097" spans="1:7" x14ac:dyDescent="0.3">
      <c r="A1097" t="s">
        <v>7</v>
      </c>
      <c r="B1097" t="s">
        <v>942</v>
      </c>
      <c r="C1097" s="2" t="s">
        <v>919</v>
      </c>
      <c r="D1097" s="1">
        <v>2000</v>
      </c>
      <c r="E1097" s="1">
        <v>11.5</v>
      </c>
      <c r="F1097" s="4" t="s">
        <v>10</v>
      </c>
      <c r="G1097" s="1" t="str">
        <f>IF(OR(ISERROR(SEARCH("recipiente",A1097))=FALSE, ISERROR(SEARCH("serbatoio",A1097))=FALSE, ISERROR(SEARCH("scambiatore",A1097))=FALSE),
    IF(D1097*E1097&gt;3000,"IV",
        IF(D1097*E1097&gt;1000,"III",
            IF(D1097*E1097&gt;200,"II",
                IF(D1097*E1097&gt;50,"I","")
            )
        )
    ),
    IF(ISERROR(SEARCH("valvola di sicurezza",A1097))=FALSE,"IV","")
)</f>
        <v>IV</v>
      </c>
    </row>
    <row r="1098" spans="1:7" x14ac:dyDescent="0.3">
      <c r="A1098" t="s">
        <v>7</v>
      </c>
      <c r="B1098" t="s">
        <v>942</v>
      </c>
      <c r="C1098" s="2" t="s">
        <v>920</v>
      </c>
      <c r="D1098" s="1">
        <v>2000</v>
      </c>
      <c r="E1098" s="1">
        <v>11.5</v>
      </c>
      <c r="F1098" s="4" t="s">
        <v>10</v>
      </c>
      <c r="G1098" s="1" t="str">
        <f>IF(OR(ISERROR(SEARCH("recipiente",A1098))=FALSE, ISERROR(SEARCH("serbatoio",A1098))=FALSE, ISERROR(SEARCH("scambiatore",A1098))=FALSE),
    IF(D1098*E1098&gt;3000,"IV",
        IF(D1098*E1098&gt;1000,"III",
            IF(D1098*E1098&gt;200,"II",
                IF(D1098*E1098&gt;50,"I","")
            )
        )
    ),
    IF(ISERROR(SEARCH("valvola di sicurezza",A1098))=FALSE,"IV","")
)</f>
        <v>IV</v>
      </c>
    </row>
    <row r="1099" spans="1:7" x14ac:dyDescent="0.3">
      <c r="A1099" t="s">
        <v>7</v>
      </c>
      <c r="B1099" t="s">
        <v>942</v>
      </c>
      <c r="C1099" s="2" t="s">
        <v>921</v>
      </c>
      <c r="D1099" s="1">
        <v>2000</v>
      </c>
      <c r="E1099" s="1">
        <v>11.5</v>
      </c>
      <c r="F1099" s="4" t="s">
        <v>10</v>
      </c>
      <c r="G1099" s="1" t="str">
        <f>IF(OR(ISERROR(SEARCH("recipiente",A1099))=FALSE, ISERROR(SEARCH("serbatoio",A1099))=FALSE, ISERROR(SEARCH("scambiatore",A1099))=FALSE),
    IF(D1099*E1099&gt;3000,"IV",
        IF(D1099*E1099&gt;1000,"III",
            IF(D1099*E1099&gt;200,"II",
                IF(D1099*E1099&gt;50,"I","")
            )
        )
    ),
    IF(ISERROR(SEARCH("valvola di sicurezza",A1099))=FALSE,"IV","")
)</f>
        <v>IV</v>
      </c>
    </row>
    <row r="1100" spans="1:7" x14ac:dyDescent="0.3">
      <c r="A1100" t="s">
        <v>7</v>
      </c>
      <c r="B1100" t="s">
        <v>942</v>
      </c>
      <c r="C1100" s="2" t="s">
        <v>922</v>
      </c>
      <c r="D1100" s="1">
        <v>3000</v>
      </c>
      <c r="E1100" s="1">
        <v>11.5</v>
      </c>
      <c r="F1100" s="4" t="s">
        <v>10</v>
      </c>
      <c r="G1100" s="1" t="str">
        <f>IF(OR(ISERROR(SEARCH("recipiente",A1100))=FALSE, ISERROR(SEARCH("serbatoio",A1100))=FALSE, ISERROR(SEARCH("scambiatore",A1100))=FALSE),
    IF(D1100*E1100&gt;3000,"IV",
        IF(D1100*E1100&gt;1000,"III",
            IF(D1100*E1100&gt;200,"II",
                IF(D1100*E1100&gt;50,"I","")
            )
        )
    ),
    IF(ISERROR(SEARCH("valvola di sicurezza",A1100))=FALSE,"IV","")
)</f>
        <v>IV</v>
      </c>
    </row>
    <row r="1101" spans="1:7" x14ac:dyDescent="0.3">
      <c r="A1101" t="s">
        <v>7</v>
      </c>
      <c r="B1101" t="s">
        <v>942</v>
      </c>
      <c r="C1101" s="2" t="s">
        <v>923</v>
      </c>
      <c r="D1101" s="1">
        <v>3000</v>
      </c>
      <c r="E1101" s="1">
        <v>11.5</v>
      </c>
      <c r="F1101" s="4" t="s">
        <v>10</v>
      </c>
      <c r="G1101" s="1" t="str">
        <f>IF(OR(ISERROR(SEARCH("recipiente",A1101))=FALSE, ISERROR(SEARCH("serbatoio",A1101))=FALSE, ISERROR(SEARCH("scambiatore",A1101))=FALSE),
    IF(D1101*E1101&gt;3000,"IV",
        IF(D1101*E1101&gt;1000,"III",
            IF(D1101*E1101&gt;200,"II",
                IF(D1101*E1101&gt;50,"I","")
            )
        )
    ),
    IF(ISERROR(SEARCH("valvola di sicurezza",A1101))=FALSE,"IV","")
)</f>
        <v>IV</v>
      </c>
    </row>
    <row r="1102" spans="1:7" x14ac:dyDescent="0.3">
      <c r="A1102" t="s">
        <v>7</v>
      </c>
      <c r="B1102" t="s">
        <v>942</v>
      </c>
      <c r="C1102" s="2" t="s">
        <v>924</v>
      </c>
      <c r="D1102" s="1">
        <v>4000</v>
      </c>
      <c r="E1102" s="1">
        <v>11.5</v>
      </c>
      <c r="F1102" s="4" t="s">
        <v>10</v>
      </c>
      <c r="G1102" s="1" t="str">
        <f>IF(OR(ISERROR(SEARCH("recipiente",A1102))=FALSE, ISERROR(SEARCH("serbatoio",A1102))=FALSE, ISERROR(SEARCH("scambiatore",A1102))=FALSE),
    IF(D1102*E1102&gt;3000,"IV",
        IF(D1102*E1102&gt;1000,"III",
            IF(D1102*E1102&gt;200,"II",
                IF(D1102*E1102&gt;50,"I","")
            )
        )
    ),
    IF(ISERROR(SEARCH("valvola di sicurezza",A1102))=FALSE,"IV","")
)</f>
        <v>IV</v>
      </c>
    </row>
    <row r="1103" spans="1:7" x14ac:dyDescent="0.3">
      <c r="A1103" t="s">
        <v>7</v>
      </c>
      <c r="B1103" t="s">
        <v>942</v>
      </c>
      <c r="C1103" s="2" t="s">
        <v>925</v>
      </c>
      <c r="D1103" s="1">
        <v>1500</v>
      </c>
      <c r="E1103" s="1">
        <v>11.5</v>
      </c>
      <c r="F1103" s="4" t="s">
        <v>10</v>
      </c>
      <c r="G1103" s="1" t="str">
        <f>IF(OR(ISERROR(SEARCH("recipiente",A1103))=FALSE, ISERROR(SEARCH("serbatoio",A1103))=FALSE, ISERROR(SEARCH("scambiatore",A1103))=FALSE),
    IF(D1103*E1103&gt;3000,"IV",
        IF(D1103*E1103&gt;1000,"III",
            IF(D1103*E1103&gt;200,"II",
                IF(D1103*E1103&gt;50,"I","")
            )
        )
    ),
    IF(ISERROR(SEARCH("valvola di sicurezza",A1103))=FALSE,"IV","")
)</f>
        <v>IV</v>
      </c>
    </row>
    <row r="1104" spans="1:7" x14ac:dyDescent="0.3">
      <c r="A1104" t="s">
        <v>7</v>
      </c>
      <c r="B1104" t="s">
        <v>942</v>
      </c>
      <c r="C1104" s="2" t="s">
        <v>926</v>
      </c>
      <c r="D1104" s="1">
        <v>1000</v>
      </c>
      <c r="E1104" s="1">
        <v>11.5</v>
      </c>
      <c r="F1104" s="4" t="s">
        <v>10</v>
      </c>
      <c r="G1104" s="1" t="str">
        <f>IF(OR(ISERROR(SEARCH("recipiente",A1104))=FALSE, ISERROR(SEARCH("serbatoio",A1104))=FALSE, ISERROR(SEARCH("scambiatore",A1104))=FALSE),
    IF(D1104*E1104&gt;3000,"IV",
        IF(D1104*E1104&gt;1000,"III",
            IF(D1104*E1104&gt;200,"II",
                IF(D1104*E1104&gt;50,"I","")
            )
        )
    ),
    IF(ISERROR(SEARCH("valvola di sicurezza",A1104))=FALSE,"IV","")
)</f>
        <v>IV</v>
      </c>
    </row>
    <row r="1105" spans="1:7" x14ac:dyDescent="0.3">
      <c r="A1105" t="s">
        <v>7</v>
      </c>
      <c r="B1105" t="s">
        <v>942</v>
      </c>
      <c r="C1105" s="2" t="s">
        <v>927</v>
      </c>
      <c r="D1105" s="1">
        <v>1000</v>
      </c>
      <c r="E1105" s="1">
        <v>11.5</v>
      </c>
      <c r="F1105" s="4" t="s">
        <v>10</v>
      </c>
      <c r="G1105" s="1" t="str">
        <f>IF(OR(ISERROR(SEARCH("recipiente",A1105))=FALSE, ISERROR(SEARCH("serbatoio",A1105))=FALSE, ISERROR(SEARCH("scambiatore",A1105))=FALSE),
    IF(D1105*E1105&gt;3000,"IV",
        IF(D1105*E1105&gt;1000,"III",
            IF(D1105*E1105&gt;200,"II",
                IF(D1105*E1105&gt;50,"I","")
            )
        )
    ),
    IF(ISERROR(SEARCH("valvola di sicurezza",A1105))=FALSE,"IV","")
)</f>
        <v>IV</v>
      </c>
    </row>
    <row r="1106" spans="1:7" x14ac:dyDescent="0.3">
      <c r="A1106" t="s">
        <v>7</v>
      </c>
      <c r="B1106" t="s">
        <v>942</v>
      </c>
      <c r="C1106" s="2" t="s">
        <v>928</v>
      </c>
      <c r="D1106" s="1">
        <v>10000</v>
      </c>
      <c r="E1106" s="1">
        <v>11.5</v>
      </c>
      <c r="F1106" s="4" t="s">
        <v>10</v>
      </c>
      <c r="G1106" s="1" t="str">
        <f>IF(OR(ISERROR(SEARCH("recipiente",A1106))=FALSE, ISERROR(SEARCH("serbatoio",A1106))=FALSE, ISERROR(SEARCH("scambiatore",A1106))=FALSE),
    IF(D1106*E1106&gt;3000,"IV",
        IF(D1106*E1106&gt;1000,"III",
            IF(D1106*E1106&gt;200,"II",
                IF(D1106*E1106&gt;50,"I","")
            )
        )
    ),
    IF(ISERROR(SEARCH("valvola di sicurezza",A1106))=FALSE,"IV","")
)</f>
        <v>IV</v>
      </c>
    </row>
    <row r="1107" spans="1:7" x14ac:dyDescent="0.3">
      <c r="A1107" t="s">
        <v>7</v>
      </c>
      <c r="B1107" t="s">
        <v>942</v>
      </c>
      <c r="C1107" s="2" t="s">
        <v>929</v>
      </c>
      <c r="D1107" s="1">
        <v>1000</v>
      </c>
      <c r="E1107" s="1">
        <v>8</v>
      </c>
      <c r="F1107" s="4" t="s">
        <v>31</v>
      </c>
      <c r="G1107" s="1" t="str">
        <f>IF(OR(ISERROR(SEARCH("recipiente",A1107))=FALSE, ISERROR(SEARCH("serbatoio",A1107))=FALSE, ISERROR(SEARCH("scambiatore",A1107))=FALSE),
    IF(D1107*E1107&gt;3000,"IV",
        IF(D1107*E1107&gt;1000,"III",
            IF(D1107*E1107&gt;200,"II",
                IF(D1107*E1107&gt;50,"I","")
            )
        )
    ),
    IF(ISERROR(SEARCH("valvola di sicurezza",A1107))=FALSE,"IV","")
)</f>
        <v>IV</v>
      </c>
    </row>
    <row r="1108" spans="1:7" x14ac:dyDescent="0.3">
      <c r="A1108" t="s">
        <v>7</v>
      </c>
      <c r="B1108" t="s">
        <v>942</v>
      </c>
      <c r="C1108" s="2" t="s">
        <v>930</v>
      </c>
      <c r="D1108" s="1">
        <v>1000</v>
      </c>
      <c r="E1108" s="1">
        <v>16</v>
      </c>
      <c r="F1108" s="4" t="s">
        <v>10</v>
      </c>
      <c r="G1108" s="1" t="str">
        <f>IF(OR(ISERROR(SEARCH("recipiente",A1108))=FALSE, ISERROR(SEARCH("serbatoio",A1108))=FALSE, ISERROR(SEARCH("scambiatore",A1108))=FALSE),
    IF(D1108*E1108&gt;3000,"IV",
        IF(D1108*E1108&gt;1000,"III",
            IF(D1108*E1108&gt;200,"II",
                IF(D1108*E1108&gt;50,"I","")
            )
        )
    ),
    IF(ISERROR(SEARCH("valvola di sicurezza",A1108))=FALSE,"IV","")
)</f>
        <v>IV</v>
      </c>
    </row>
    <row r="1109" spans="1:7" x14ac:dyDescent="0.3">
      <c r="A1109" t="s">
        <v>7</v>
      </c>
      <c r="B1109" t="s">
        <v>942</v>
      </c>
      <c r="C1109" s="2" t="s">
        <v>931</v>
      </c>
      <c r="D1109" s="1">
        <v>5000</v>
      </c>
      <c r="E1109" s="1">
        <v>11.5</v>
      </c>
      <c r="F1109" s="4" t="s">
        <v>10</v>
      </c>
      <c r="G1109" s="1" t="str">
        <f>IF(OR(ISERROR(SEARCH("recipiente",A1109))=FALSE, ISERROR(SEARCH("serbatoio",A1109))=FALSE, ISERROR(SEARCH("scambiatore",A1109))=FALSE),
    IF(D1109*E1109&gt;3000,"IV",
        IF(D1109*E1109&gt;1000,"III",
            IF(D1109*E1109&gt;200,"II",
                IF(D1109*E1109&gt;50,"I","")
            )
        )
    ),
    IF(ISERROR(SEARCH("valvola di sicurezza",A1109))=FALSE,"IV","")
)</f>
        <v>IV</v>
      </c>
    </row>
    <row r="1110" spans="1:7" x14ac:dyDescent="0.3">
      <c r="A1110" t="s">
        <v>7</v>
      </c>
      <c r="B1110" t="s">
        <v>942</v>
      </c>
      <c r="C1110" s="2" t="s">
        <v>932</v>
      </c>
      <c r="D1110" s="1">
        <v>725</v>
      </c>
      <c r="E1110" s="1">
        <v>10.8</v>
      </c>
      <c r="F1110" s="4" t="s">
        <v>31</v>
      </c>
      <c r="G1110" s="1" t="str">
        <f>IF(OR(ISERROR(SEARCH("recipiente",A1110))=FALSE, ISERROR(SEARCH("serbatoio",A1110))=FALSE, ISERROR(SEARCH("scambiatore",A1110))=FALSE),
    IF(D1110*E1110&gt;3000,"IV",
        IF(D1110*E1110&gt;1000,"III",
            IF(D1110*E1110&gt;200,"II",
                IF(D1110*E1110&gt;50,"I","")
            )
        )
    ),
    IF(ISERROR(SEARCH("valvola di sicurezza",A1110))=FALSE,"IV","")
)</f>
        <v>IV</v>
      </c>
    </row>
    <row r="1111" spans="1:7" x14ac:dyDescent="0.3">
      <c r="A1111" t="s">
        <v>7</v>
      </c>
      <c r="B1111" t="s">
        <v>942</v>
      </c>
      <c r="C1111" s="2" t="s">
        <v>933</v>
      </c>
      <c r="D1111" s="1">
        <v>500</v>
      </c>
      <c r="E1111" s="1">
        <v>42</v>
      </c>
      <c r="F1111" s="4" t="s">
        <v>31</v>
      </c>
      <c r="G1111" s="1" t="str">
        <f>IF(OR(ISERROR(SEARCH("recipiente",A1111))=FALSE, ISERROR(SEARCH("serbatoio",A1111))=FALSE, ISERROR(SEARCH("scambiatore",A1111))=FALSE),
    IF(D1111*E1111&gt;3000,"IV",
        IF(D1111*E1111&gt;1000,"III",
            IF(D1111*E1111&gt;200,"II",
                IF(D1111*E1111&gt;50,"I","")
            )
        )
    ),
    IF(ISERROR(SEARCH("valvola di sicurezza",A1111))=FALSE,"IV","")
)</f>
        <v>IV</v>
      </c>
    </row>
    <row r="1112" spans="1:7" x14ac:dyDescent="0.3">
      <c r="A1112" t="s">
        <v>7</v>
      </c>
      <c r="B1112" t="s">
        <v>942</v>
      </c>
      <c r="C1112" s="2" t="s">
        <v>934</v>
      </c>
      <c r="D1112" s="1">
        <v>200</v>
      </c>
      <c r="E1112" s="1">
        <v>15</v>
      </c>
      <c r="F1112" s="4" t="s">
        <v>10</v>
      </c>
      <c r="G1112" s="1" t="str">
        <f>IF(OR(ISERROR(SEARCH("recipiente",A1112))=FALSE, ISERROR(SEARCH("serbatoio",A1112))=FALSE, ISERROR(SEARCH("scambiatore",A1112))=FALSE),
    IF(D1112*E1112&gt;3000,"IV",
        IF(D1112*E1112&gt;1000,"III",
            IF(D1112*E1112&gt;200,"II",
                IF(D1112*E1112&gt;50,"I","")
            )
        )
    ),
    IF(ISERROR(SEARCH("valvola di sicurezza",A1112))=FALSE,"IV","")
)</f>
        <v>III</v>
      </c>
    </row>
    <row r="1113" spans="1:7" x14ac:dyDescent="0.3">
      <c r="A1113" t="s">
        <v>33</v>
      </c>
      <c r="B1113" t="s">
        <v>942</v>
      </c>
      <c r="C1113" s="2" t="s">
        <v>935</v>
      </c>
      <c r="D1113" s="1">
        <v>185</v>
      </c>
      <c r="E1113" s="1">
        <v>16</v>
      </c>
      <c r="F1113" s="4" t="s">
        <v>10</v>
      </c>
      <c r="G1113" s="1" t="str">
        <f>IF(OR(ISERROR(SEARCH("recipiente",A1113))=FALSE, ISERROR(SEARCH("serbatoio",A1113))=FALSE, ISERROR(SEARCH("scambiatore",A1113))=FALSE),
    IF(D1113*E1113&gt;3000,"IV",
        IF(D1113*E1113&gt;1000,"III",
            IF(D1113*E1113&gt;200,"II",
                IF(D1113*E1113&gt;50,"I","")
            )
        )
    ),
    IF(ISERROR(SEARCH("valvola di sicurezza",A1113))=FALSE,"IV","")
)</f>
        <v>III</v>
      </c>
    </row>
    <row r="1114" spans="1:7" x14ac:dyDescent="0.3">
      <c r="A1114" t="s">
        <v>33</v>
      </c>
      <c r="B1114" t="s">
        <v>942</v>
      </c>
      <c r="C1114" s="2" t="s">
        <v>936</v>
      </c>
      <c r="D1114" s="1">
        <v>65</v>
      </c>
      <c r="E1114" s="1">
        <v>16</v>
      </c>
      <c r="F1114" s="4" t="s">
        <v>10</v>
      </c>
      <c r="G1114" s="1" t="str">
        <f>IF(OR(ISERROR(SEARCH("recipiente",A1114))=FALSE, ISERROR(SEARCH("serbatoio",A1114))=FALSE, ISERROR(SEARCH("scambiatore",A1114))=FALSE),
    IF(D1114*E1114&gt;3000,"IV",
        IF(D1114*E1114&gt;1000,"III",
            IF(D1114*E1114&gt;200,"II",
                IF(D1114*E1114&gt;50,"I","")
            )
        )
    ),
    IF(ISERROR(SEARCH("valvola di sicurezza",A1114))=FALSE,"IV","")
)</f>
        <v>III</v>
      </c>
    </row>
    <row r="1115" spans="1:7" x14ac:dyDescent="0.3">
      <c r="A1115" t="s">
        <v>33</v>
      </c>
      <c r="B1115" t="s">
        <v>942</v>
      </c>
      <c r="C1115" s="2" t="s">
        <v>937</v>
      </c>
      <c r="D1115" s="1">
        <v>55</v>
      </c>
      <c r="E1115" s="1">
        <v>16</v>
      </c>
      <c r="F1115" s="4" t="s">
        <v>10</v>
      </c>
      <c r="G1115" s="1" t="str">
        <f>IF(OR(ISERROR(SEARCH("recipiente",A1115))=FALSE, ISERROR(SEARCH("serbatoio",A1115))=FALSE, ISERROR(SEARCH("scambiatore",A1115))=FALSE),
    IF(D1115*E1115&gt;3000,"IV",
        IF(D1115*E1115&gt;1000,"III",
            IF(D1115*E1115&gt;200,"II",
                IF(D1115*E1115&gt;50,"I","")
            )
        )
    ),
    IF(ISERROR(SEARCH("valvola di sicurezza",A1115))=FALSE,"IV","")
)</f>
        <v>II</v>
      </c>
    </row>
    <row r="1116" spans="1:7" x14ac:dyDescent="0.3">
      <c r="A1116" t="s">
        <v>33</v>
      </c>
      <c r="B1116" t="s">
        <v>942</v>
      </c>
      <c r="C1116" s="2" t="s">
        <v>938</v>
      </c>
      <c r="D1116" s="1">
        <v>30</v>
      </c>
      <c r="E1116" s="1">
        <v>16</v>
      </c>
      <c r="F1116" s="4" t="s">
        <v>10</v>
      </c>
      <c r="G1116" s="1" t="str">
        <f>IF(OR(ISERROR(SEARCH("recipiente",A1116))=FALSE, ISERROR(SEARCH("serbatoio",A1116))=FALSE, ISERROR(SEARCH("scambiatore",A1116))=FALSE),
    IF(D1116*E1116&gt;3000,"IV",
        IF(D1116*E1116&gt;1000,"III",
            IF(D1116*E1116&gt;200,"II",
                IF(D1116*E1116&gt;50,"I","")
            )
        )
    ),
    IF(ISERROR(SEARCH("valvola di sicurezza",A1116))=FALSE,"IV","")
)</f>
        <v>II</v>
      </c>
    </row>
    <row r="1117" spans="1:7" x14ac:dyDescent="0.3">
      <c r="A1117" t="s">
        <v>33</v>
      </c>
      <c r="B1117" t="s">
        <v>942</v>
      </c>
      <c r="C1117" s="2" t="s">
        <v>939</v>
      </c>
      <c r="D1117" s="1">
        <v>30</v>
      </c>
      <c r="E1117" s="1">
        <v>16</v>
      </c>
      <c r="F1117" s="4" t="s">
        <v>10</v>
      </c>
      <c r="G1117" s="1" t="str">
        <f>IF(OR(ISERROR(SEARCH("recipiente",A1117))=FALSE, ISERROR(SEARCH("serbatoio",A1117))=FALSE, ISERROR(SEARCH("scambiatore",A1117))=FALSE),
    IF(D1117*E1117&gt;3000,"IV",
        IF(D1117*E1117&gt;1000,"III",
            IF(D1117*E1117&gt;200,"II",
                IF(D1117*E1117&gt;50,"I","")
            )
        )
    ),
    IF(ISERROR(SEARCH("valvola di sicurezza",A1117))=FALSE,"IV","")
)</f>
        <v>II</v>
      </c>
    </row>
    <row r="1118" spans="1:7" x14ac:dyDescent="0.3">
      <c r="A1118" t="s">
        <v>33</v>
      </c>
      <c r="B1118" t="s">
        <v>942</v>
      </c>
      <c r="C1118" s="2" t="s">
        <v>940</v>
      </c>
      <c r="D1118" s="1">
        <v>115</v>
      </c>
      <c r="E1118" s="1">
        <v>16</v>
      </c>
      <c r="F1118" s="4" t="s">
        <v>10</v>
      </c>
      <c r="G1118" s="1" t="str">
        <f>IF(OR(ISERROR(SEARCH("recipiente",A1118))=FALSE, ISERROR(SEARCH("serbatoio",A1118))=FALSE, ISERROR(SEARCH("scambiatore",A1118))=FALSE),
    IF(D1118*E1118&gt;3000,"IV",
        IF(D1118*E1118&gt;1000,"III",
            IF(D1118*E1118&gt;200,"II",
                IF(D1118*E1118&gt;50,"I","")
            )
        )
    ),
    IF(ISERROR(SEARCH("valvola di sicurezza",A1118))=FALSE,"IV","")
)</f>
        <v>III</v>
      </c>
    </row>
    <row r="1119" spans="1:7" x14ac:dyDescent="0.3">
      <c r="A1119" t="s">
        <v>33</v>
      </c>
      <c r="B1119" t="s">
        <v>942</v>
      </c>
      <c r="C1119" s="2" t="s">
        <v>941</v>
      </c>
      <c r="D1119" s="1">
        <v>30</v>
      </c>
      <c r="E1119" s="1">
        <v>15</v>
      </c>
      <c r="F1119" s="4" t="s">
        <v>10</v>
      </c>
      <c r="G1119" s="1" t="str">
        <f>IF(OR(ISERROR(SEARCH("recipiente",A1119))=FALSE, ISERROR(SEARCH("serbatoio",A1119))=FALSE, ISERROR(SEARCH("scambiatore",A1119))=FALSE),
    IF(D1119*E1119&gt;3000,"IV",
        IF(D1119*E1119&gt;1000,"III",
            IF(D1119*E1119&gt;200,"II",
                IF(D1119*E1119&gt;50,"I","")
            )
        )
    ),
    IF(ISERROR(SEARCH("valvola di sicurezza",A1119))=FALSE,"IV","")
)</f>
        <v>II</v>
      </c>
    </row>
    <row r="1120" spans="1:7" x14ac:dyDescent="0.3">
      <c r="A1120" t="s">
        <v>7</v>
      </c>
      <c r="B1120" t="s">
        <v>943</v>
      </c>
      <c r="C1120" s="2" t="s">
        <v>904</v>
      </c>
      <c r="D1120" s="1">
        <v>200</v>
      </c>
      <c r="E1120" s="1">
        <v>11</v>
      </c>
      <c r="F1120" s="4" t="s">
        <v>10</v>
      </c>
      <c r="G1120" s="1" t="str">
        <f>IF(OR(ISERROR(SEARCH("recipiente",A1120))=FALSE, ISERROR(SEARCH("serbatoio",A1120))=FALSE, ISERROR(SEARCH("scambiatore",A1120))=FALSE),
    IF(D1120*E1120&gt;3000,"IV",
        IF(D1120*E1120&gt;1000,"III",
            IF(D1120*E1120&gt;200,"II",
                IF(D1120*E1120&gt;50,"I","")
            )
        )
    ),
    IF(ISERROR(SEARCH("valvola di sicurezza",A1120))=FALSE,"IV","")
)</f>
        <v>III</v>
      </c>
    </row>
    <row r="1121" spans="1:7" x14ac:dyDescent="0.3">
      <c r="A1121" t="s">
        <v>7</v>
      </c>
      <c r="B1121" t="s">
        <v>943</v>
      </c>
      <c r="C1121" s="2" t="s">
        <v>905</v>
      </c>
      <c r="D1121" s="1">
        <v>800</v>
      </c>
      <c r="E1121" s="1">
        <v>9.81</v>
      </c>
      <c r="F1121" s="4" t="s">
        <v>31</v>
      </c>
      <c r="G1121" s="1" t="str">
        <f>IF(OR(ISERROR(SEARCH("recipiente",A1121))=FALSE, ISERROR(SEARCH("serbatoio",A1121))=FALSE, ISERROR(SEARCH("scambiatore",A1121))=FALSE),
    IF(D1121*E1121&gt;3000,"IV",
        IF(D1121*E1121&gt;1000,"III",
            IF(D1121*E1121&gt;200,"II",
                IF(D1121*E1121&gt;50,"I","")
            )
        )
    ),
    IF(ISERROR(SEARCH("valvola di sicurezza",A1121))=FALSE,"IV","")
)</f>
        <v>IV</v>
      </c>
    </row>
    <row r="1122" spans="1:7" x14ac:dyDescent="0.3">
      <c r="A1122" t="s">
        <v>7</v>
      </c>
      <c r="B1122" t="s">
        <v>943</v>
      </c>
      <c r="C1122" s="2" t="s">
        <v>906</v>
      </c>
      <c r="D1122" s="1">
        <v>725</v>
      </c>
      <c r="E1122" s="1">
        <v>10.8</v>
      </c>
      <c r="F1122" s="4" t="s">
        <v>31</v>
      </c>
      <c r="G1122" s="1" t="str">
        <f>IF(OR(ISERROR(SEARCH("recipiente",A1122))=FALSE, ISERROR(SEARCH("serbatoio",A1122))=FALSE, ISERROR(SEARCH("scambiatore",A1122))=FALSE),
    IF(D1122*E1122&gt;3000,"IV",
        IF(D1122*E1122&gt;1000,"III",
            IF(D1122*E1122&gt;200,"II",
                IF(D1122*E1122&gt;50,"I","")
            )
        )
    ),
    IF(ISERROR(SEARCH("valvola di sicurezza",A1122))=FALSE,"IV","")
)</f>
        <v>IV</v>
      </c>
    </row>
    <row r="1123" spans="1:7" x14ac:dyDescent="0.3">
      <c r="A1123" t="s">
        <v>7</v>
      </c>
      <c r="B1123" t="s">
        <v>943</v>
      </c>
      <c r="C1123" s="2" t="s">
        <v>907</v>
      </c>
      <c r="D1123" s="1">
        <v>725</v>
      </c>
      <c r="E1123" s="1">
        <v>11</v>
      </c>
      <c r="F1123" s="4" t="s">
        <v>10</v>
      </c>
      <c r="G1123" s="1" t="str">
        <f>IF(OR(ISERROR(SEARCH("recipiente",A1123))=FALSE, ISERROR(SEARCH("serbatoio",A1123))=FALSE, ISERROR(SEARCH("scambiatore",A1123))=FALSE),
    IF(D1123*E1123&gt;3000,"IV",
        IF(D1123*E1123&gt;1000,"III",
            IF(D1123*E1123&gt;200,"II",
                IF(D1123*E1123&gt;50,"I","")
            )
        )
    ),
    IF(ISERROR(SEARCH("valvola di sicurezza",A1123))=FALSE,"IV","")
)</f>
        <v>IV</v>
      </c>
    </row>
    <row r="1124" spans="1:7" x14ac:dyDescent="0.3">
      <c r="A1124" t="s">
        <v>7</v>
      </c>
      <c r="B1124" t="s">
        <v>943</v>
      </c>
      <c r="C1124" s="2" t="s">
        <v>908</v>
      </c>
      <c r="D1124" s="1">
        <v>725</v>
      </c>
      <c r="E1124" s="1">
        <v>10.8</v>
      </c>
      <c r="F1124" s="4" t="s">
        <v>31</v>
      </c>
      <c r="G1124" s="1" t="str">
        <f>IF(OR(ISERROR(SEARCH("recipiente",A1124))=FALSE, ISERROR(SEARCH("serbatoio",A1124))=FALSE, ISERROR(SEARCH("scambiatore",A1124))=FALSE),
    IF(D1124*E1124&gt;3000,"IV",
        IF(D1124*E1124&gt;1000,"III",
            IF(D1124*E1124&gt;200,"II",
                IF(D1124*E1124&gt;50,"I","")
            )
        )
    ),
    IF(ISERROR(SEARCH("valvola di sicurezza",A1124))=FALSE,"IV","")
)</f>
        <v>IV</v>
      </c>
    </row>
    <row r="1125" spans="1:7" x14ac:dyDescent="0.3">
      <c r="A1125" t="s">
        <v>7</v>
      </c>
      <c r="B1125" t="s">
        <v>943</v>
      </c>
      <c r="C1125" s="2" t="s">
        <v>908</v>
      </c>
      <c r="D1125" s="1">
        <v>725</v>
      </c>
      <c r="E1125" s="1">
        <v>10.8</v>
      </c>
      <c r="F1125" s="4" t="s">
        <v>31</v>
      </c>
      <c r="G1125" s="1" t="str">
        <f>IF(OR(ISERROR(SEARCH("recipiente",A1125))=FALSE, ISERROR(SEARCH("serbatoio",A1125))=FALSE, ISERROR(SEARCH("scambiatore",A1125))=FALSE),
    IF(D1125*E1125&gt;3000,"IV",
        IF(D1125*E1125&gt;1000,"III",
            IF(D1125*E1125&gt;200,"II",
                IF(D1125*E1125&gt;50,"I","")
            )
        )
    ),
    IF(ISERROR(SEARCH("valvola di sicurezza",A1125))=FALSE,"IV","")
)</f>
        <v>IV</v>
      </c>
    </row>
    <row r="1126" spans="1:7" x14ac:dyDescent="0.3">
      <c r="A1126" t="s">
        <v>7</v>
      </c>
      <c r="B1126" t="s">
        <v>943</v>
      </c>
      <c r="C1126" s="2" t="s">
        <v>909</v>
      </c>
      <c r="D1126" s="1">
        <v>500</v>
      </c>
      <c r="E1126" s="1">
        <v>16</v>
      </c>
      <c r="F1126" s="4" t="s">
        <v>10</v>
      </c>
      <c r="G1126" s="1" t="str">
        <f>IF(OR(ISERROR(SEARCH("recipiente",A1126))=FALSE, ISERROR(SEARCH("serbatoio",A1126))=FALSE, ISERROR(SEARCH("scambiatore",A1126))=FALSE),
    IF(D1126*E1126&gt;3000,"IV",
        IF(D1126*E1126&gt;1000,"III",
            IF(D1126*E1126&gt;200,"II",
                IF(D1126*E1126&gt;50,"I","")
            )
        )
    ),
    IF(ISERROR(SEARCH("valvola di sicurezza",A1126))=FALSE,"IV","")
)</f>
        <v>IV</v>
      </c>
    </row>
    <row r="1127" spans="1:7" x14ac:dyDescent="0.3">
      <c r="A1127" t="s">
        <v>7</v>
      </c>
      <c r="B1127" t="s">
        <v>943</v>
      </c>
      <c r="C1127" s="2" t="s">
        <v>910</v>
      </c>
      <c r="D1127" s="1">
        <v>500</v>
      </c>
      <c r="E1127" s="1">
        <v>16</v>
      </c>
      <c r="F1127" s="4" t="s">
        <v>10</v>
      </c>
      <c r="G1127" s="1" t="str">
        <f>IF(OR(ISERROR(SEARCH("recipiente",A1127))=FALSE, ISERROR(SEARCH("serbatoio",A1127))=FALSE, ISERROR(SEARCH("scambiatore",A1127))=FALSE),
    IF(D1127*E1127&gt;3000,"IV",
        IF(D1127*E1127&gt;1000,"III",
            IF(D1127*E1127&gt;200,"II",
                IF(D1127*E1127&gt;50,"I","")
            )
        )
    ),
    IF(ISERROR(SEARCH("valvola di sicurezza",A1127))=FALSE,"IV","")
)</f>
        <v>IV</v>
      </c>
    </row>
    <row r="1128" spans="1:7" x14ac:dyDescent="0.3">
      <c r="A1128" t="s">
        <v>7</v>
      </c>
      <c r="B1128" t="s">
        <v>943</v>
      </c>
      <c r="C1128" s="2" t="s">
        <v>911</v>
      </c>
      <c r="D1128" s="1">
        <v>500</v>
      </c>
      <c r="E1128" s="1">
        <v>11</v>
      </c>
      <c r="F1128" s="4" t="s">
        <v>10</v>
      </c>
      <c r="G1128" s="1" t="str">
        <f>IF(OR(ISERROR(SEARCH("recipiente",A1128))=FALSE, ISERROR(SEARCH("serbatoio",A1128))=FALSE, ISERROR(SEARCH("scambiatore",A1128))=FALSE),
    IF(D1128*E1128&gt;3000,"IV",
        IF(D1128*E1128&gt;1000,"III",
            IF(D1128*E1128&gt;200,"II",
                IF(D1128*E1128&gt;50,"I","")
            )
        )
    ),
    IF(ISERROR(SEARCH("valvola di sicurezza",A1128))=FALSE,"IV","")
)</f>
        <v>IV</v>
      </c>
    </row>
    <row r="1129" spans="1:7" x14ac:dyDescent="0.3">
      <c r="A1129" t="s">
        <v>7</v>
      </c>
      <c r="B1129" t="s">
        <v>943</v>
      </c>
      <c r="C1129" s="2" t="s">
        <v>912</v>
      </c>
      <c r="D1129" s="1">
        <v>500</v>
      </c>
      <c r="E1129" s="1">
        <v>11</v>
      </c>
      <c r="F1129" s="4" t="s">
        <v>31</v>
      </c>
      <c r="G1129" s="1" t="str">
        <f>IF(OR(ISERROR(SEARCH("recipiente",A1129))=FALSE, ISERROR(SEARCH("serbatoio",A1129))=FALSE, ISERROR(SEARCH("scambiatore",A1129))=FALSE),
    IF(D1129*E1129&gt;3000,"IV",
        IF(D1129*E1129&gt;1000,"III",
            IF(D1129*E1129&gt;200,"II",
                IF(D1129*E1129&gt;50,"I","")
            )
        )
    ),
    IF(ISERROR(SEARCH("valvola di sicurezza",A1129))=FALSE,"IV","")
)</f>
        <v>IV</v>
      </c>
    </row>
    <row r="1130" spans="1:7" x14ac:dyDescent="0.3">
      <c r="A1130" t="s">
        <v>7</v>
      </c>
      <c r="B1130" t="s">
        <v>943</v>
      </c>
      <c r="C1130" s="2" t="s">
        <v>913</v>
      </c>
      <c r="D1130" s="1">
        <v>270</v>
      </c>
      <c r="E1130" s="1">
        <v>11</v>
      </c>
      <c r="F1130" s="4" t="s">
        <v>10</v>
      </c>
      <c r="G1130" s="1" t="str">
        <f>IF(OR(ISERROR(SEARCH("recipiente",A1130))=FALSE, ISERROR(SEARCH("serbatoio",A1130))=FALSE, ISERROR(SEARCH("scambiatore",A1130))=FALSE),
    IF(D1130*E1130&gt;3000,"IV",
        IF(D1130*E1130&gt;1000,"III",
            IF(D1130*E1130&gt;200,"II",
                IF(D1130*E1130&gt;50,"I","")
            )
        )
    ),
    IF(ISERROR(SEARCH("valvola di sicurezza",A1130))=FALSE,"IV","")
)</f>
        <v>III</v>
      </c>
    </row>
    <row r="1131" spans="1:7" x14ac:dyDescent="0.3">
      <c r="A1131" t="s">
        <v>7</v>
      </c>
      <c r="B1131" t="s">
        <v>943</v>
      </c>
      <c r="C1131" s="2" t="s">
        <v>914</v>
      </c>
      <c r="D1131" s="1">
        <v>900</v>
      </c>
      <c r="E1131" s="1">
        <v>11</v>
      </c>
      <c r="F1131" s="4" t="s">
        <v>10</v>
      </c>
      <c r="G1131" s="1" t="str">
        <f>IF(OR(ISERROR(SEARCH("recipiente",A1131))=FALSE, ISERROR(SEARCH("serbatoio",A1131))=FALSE, ISERROR(SEARCH("scambiatore",A1131))=FALSE),
    IF(D1131*E1131&gt;3000,"IV",
        IF(D1131*E1131&gt;1000,"III",
            IF(D1131*E1131&gt;200,"II",
                IF(D1131*E1131&gt;50,"I","")
            )
        )
    ),
    IF(ISERROR(SEARCH("valvola di sicurezza",A1131))=FALSE,"IV","")
)</f>
        <v>IV</v>
      </c>
    </row>
    <row r="1132" spans="1:7" x14ac:dyDescent="0.3">
      <c r="A1132" t="s">
        <v>7</v>
      </c>
      <c r="B1132" t="s">
        <v>943</v>
      </c>
      <c r="C1132" s="2" t="s">
        <v>915</v>
      </c>
      <c r="D1132" s="1">
        <v>2000</v>
      </c>
      <c r="E1132" s="1">
        <v>11.5</v>
      </c>
      <c r="F1132" s="4" t="s">
        <v>31</v>
      </c>
      <c r="G1132" s="1" t="str">
        <f>IF(OR(ISERROR(SEARCH("recipiente",A1132))=FALSE, ISERROR(SEARCH("serbatoio",A1132))=FALSE, ISERROR(SEARCH("scambiatore",A1132))=FALSE),
    IF(D1132*E1132&gt;3000,"IV",
        IF(D1132*E1132&gt;1000,"III",
            IF(D1132*E1132&gt;200,"II",
                IF(D1132*E1132&gt;50,"I","")
            )
        )
    ),
    IF(ISERROR(SEARCH("valvola di sicurezza",A1132))=FALSE,"IV","")
)</f>
        <v>IV</v>
      </c>
    </row>
    <row r="1133" spans="1:7" x14ac:dyDescent="0.3">
      <c r="A1133" t="s">
        <v>7</v>
      </c>
      <c r="B1133" t="s">
        <v>943</v>
      </c>
      <c r="C1133" s="2" t="s">
        <v>916</v>
      </c>
      <c r="D1133" s="1">
        <v>2000</v>
      </c>
      <c r="E1133" s="1">
        <v>11.5</v>
      </c>
      <c r="F1133" s="4" t="s">
        <v>10</v>
      </c>
      <c r="G1133" s="1" t="str">
        <f>IF(OR(ISERROR(SEARCH("recipiente",A1133))=FALSE, ISERROR(SEARCH("serbatoio",A1133))=FALSE, ISERROR(SEARCH("scambiatore",A1133))=FALSE),
    IF(D1133*E1133&gt;3000,"IV",
        IF(D1133*E1133&gt;1000,"III",
            IF(D1133*E1133&gt;200,"II",
                IF(D1133*E1133&gt;50,"I","")
            )
        )
    ),
    IF(ISERROR(SEARCH("valvola di sicurezza",A1133))=FALSE,"IV","")
)</f>
        <v>IV</v>
      </c>
    </row>
    <row r="1134" spans="1:7" x14ac:dyDescent="0.3">
      <c r="A1134" t="s">
        <v>7</v>
      </c>
      <c r="B1134" t="s">
        <v>943</v>
      </c>
      <c r="C1134" s="2" t="s">
        <v>917</v>
      </c>
      <c r="D1134" s="1">
        <v>2000</v>
      </c>
      <c r="E1134" s="1">
        <v>11.5</v>
      </c>
      <c r="F1134" s="4" t="s">
        <v>10</v>
      </c>
      <c r="G1134" s="1" t="str">
        <f>IF(OR(ISERROR(SEARCH("recipiente",A1134))=FALSE, ISERROR(SEARCH("serbatoio",A1134))=FALSE, ISERROR(SEARCH("scambiatore",A1134))=FALSE),
    IF(D1134*E1134&gt;3000,"IV",
        IF(D1134*E1134&gt;1000,"III",
            IF(D1134*E1134&gt;200,"II",
                IF(D1134*E1134&gt;50,"I","")
            )
        )
    ),
    IF(ISERROR(SEARCH("valvola di sicurezza",A1134))=FALSE,"IV","")
)</f>
        <v>IV</v>
      </c>
    </row>
    <row r="1135" spans="1:7" x14ac:dyDescent="0.3">
      <c r="A1135" t="s">
        <v>7</v>
      </c>
      <c r="B1135" t="s">
        <v>943</v>
      </c>
      <c r="C1135" s="2" t="s">
        <v>918</v>
      </c>
      <c r="D1135" s="1">
        <v>2000</v>
      </c>
      <c r="E1135" s="1">
        <v>11.5</v>
      </c>
      <c r="F1135" s="4" t="s">
        <v>10</v>
      </c>
      <c r="G1135" s="1" t="str">
        <f>IF(OR(ISERROR(SEARCH("recipiente",A1135))=FALSE, ISERROR(SEARCH("serbatoio",A1135))=FALSE, ISERROR(SEARCH("scambiatore",A1135))=FALSE),
    IF(D1135*E1135&gt;3000,"IV",
        IF(D1135*E1135&gt;1000,"III",
            IF(D1135*E1135&gt;200,"II",
                IF(D1135*E1135&gt;50,"I","")
            )
        )
    ),
    IF(ISERROR(SEARCH("valvola di sicurezza",A1135))=FALSE,"IV","")
)</f>
        <v>IV</v>
      </c>
    </row>
    <row r="1136" spans="1:7" x14ac:dyDescent="0.3">
      <c r="A1136" t="s">
        <v>7</v>
      </c>
      <c r="B1136" t="s">
        <v>943</v>
      </c>
      <c r="C1136" s="2" t="s">
        <v>919</v>
      </c>
      <c r="D1136" s="1">
        <v>2000</v>
      </c>
      <c r="E1136" s="1">
        <v>11.5</v>
      </c>
      <c r="F1136" s="4" t="s">
        <v>10</v>
      </c>
      <c r="G1136" s="1" t="str">
        <f>IF(OR(ISERROR(SEARCH("recipiente",A1136))=FALSE, ISERROR(SEARCH("serbatoio",A1136))=FALSE, ISERROR(SEARCH("scambiatore",A1136))=FALSE),
    IF(D1136*E1136&gt;3000,"IV",
        IF(D1136*E1136&gt;1000,"III",
            IF(D1136*E1136&gt;200,"II",
                IF(D1136*E1136&gt;50,"I","")
            )
        )
    ),
    IF(ISERROR(SEARCH("valvola di sicurezza",A1136))=FALSE,"IV","")
)</f>
        <v>IV</v>
      </c>
    </row>
    <row r="1137" spans="1:7" x14ac:dyDescent="0.3">
      <c r="A1137" t="s">
        <v>7</v>
      </c>
      <c r="B1137" t="s">
        <v>943</v>
      </c>
      <c r="C1137" s="2" t="s">
        <v>920</v>
      </c>
      <c r="D1137" s="1">
        <v>2000</v>
      </c>
      <c r="E1137" s="1">
        <v>11.5</v>
      </c>
      <c r="F1137" s="4" t="s">
        <v>10</v>
      </c>
      <c r="G1137" s="1" t="str">
        <f>IF(OR(ISERROR(SEARCH("recipiente",A1137))=FALSE, ISERROR(SEARCH("serbatoio",A1137))=FALSE, ISERROR(SEARCH("scambiatore",A1137))=FALSE),
    IF(D1137*E1137&gt;3000,"IV",
        IF(D1137*E1137&gt;1000,"III",
            IF(D1137*E1137&gt;200,"II",
                IF(D1137*E1137&gt;50,"I","")
            )
        )
    ),
    IF(ISERROR(SEARCH("valvola di sicurezza",A1137))=FALSE,"IV","")
)</f>
        <v>IV</v>
      </c>
    </row>
    <row r="1138" spans="1:7" x14ac:dyDescent="0.3">
      <c r="A1138" t="s">
        <v>7</v>
      </c>
      <c r="B1138" t="s">
        <v>943</v>
      </c>
      <c r="C1138" s="2" t="s">
        <v>921</v>
      </c>
      <c r="D1138" s="1">
        <v>2000</v>
      </c>
      <c r="E1138" s="1">
        <v>11.5</v>
      </c>
      <c r="F1138" s="4" t="s">
        <v>10</v>
      </c>
      <c r="G1138" s="1" t="str">
        <f>IF(OR(ISERROR(SEARCH("recipiente",A1138))=FALSE, ISERROR(SEARCH("serbatoio",A1138))=FALSE, ISERROR(SEARCH("scambiatore",A1138))=FALSE),
    IF(D1138*E1138&gt;3000,"IV",
        IF(D1138*E1138&gt;1000,"III",
            IF(D1138*E1138&gt;200,"II",
                IF(D1138*E1138&gt;50,"I","")
            )
        )
    ),
    IF(ISERROR(SEARCH("valvola di sicurezza",A1138))=FALSE,"IV","")
)</f>
        <v>IV</v>
      </c>
    </row>
    <row r="1139" spans="1:7" x14ac:dyDescent="0.3">
      <c r="A1139" t="s">
        <v>7</v>
      </c>
      <c r="B1139" t="s">
        <v>943</v>
      </c>
      <c r="C1139" s="2" t="s">
        <v>922</v>
      </c>
      <c r="D1139" s="1">
        <v>3000</v>
      </c>
      <c r="E1139" s="1">
        <v>11.5</v>
      </c>
      <c r="F1139" s="4" t="s">
        <v>10</v>
      </c>
      <c r="G1139" s="1" t="str">
        <f>IF(OR(ISERROR(SEARCH("recipiente",A1139))=FALSE, ISERROR(SEARCH("serbatoio",A1139))=FALSE, ISERROR(SEARCH("scambiatore",A1139))=FALSE),
    IF(D1139*E1139&gt;3000,"IV",
        IF(D1139*E1139&gt;1000,"III",
            IF(D1139*E1139&gt;200,"II",
                IF(D1139*E1139&gt;50,"I","")
            )
        )
    ),
    IF(ISERROR(SEARCH("valvola di sicurezza",A1139))=FALSE,"IV","")
)</f>
        <v>IV</v>
      </c>
    </row>
    <row r="1140" spans="1:7" x14ac:dyDescent="0.3">
      <c r="A1140" t="s">
        <v>7</v>
      </c>
      <c r="B1140" t="s">
        <v>943</v>
      </c>
      <c r="C1140" s="2" t="s">
        <v>923</v>
      </c>
      <c r="D1140" s="1">
        <v>3000</v>
      </c>
      <c r="E1140" s="1">
        <v>11.5</v>
      </c>
      <c r="F1140" s="4" t="s">
        <v>10</v>
      </c>
      <c r="G1140" s="1" t="str">
        <f>IF(OR(ISERROR(SEARCH("recipiente",A1140))=FALSE, ISERROR(SEARCH("serbatoio",A1140))=FALSE, ISERROR(SEARCH("scambiatore",A1140))=FALSE),
    IF(D1140*E1140&gt;3000,"IV",
        IF(D1140*E1140&gt;1000,"III",
            IF(D1140*E1140&gt;200,"II",
                IF(D1140*E1140&gt;50,"I","")
            )
        )
    ),
    IF(ISERROR(SEARCH("valvola di sicurezza",A1140))=FALSE,"IV","")
)</f>
        <v>IV</v>
      </c>
    </row>
    <row r="1141" spans="1:7" x14ac:dyDescent="0.3">
      <c r="A1141" t="s">
        <v>7</v>
      </c>
      <c r="B1141" t="s">
        <v>943</v>
      </c>
      <c r="C1141" s="2" t="s">
        <v>924</v>
      </c>
      <c r="D1141" s="1">
        <v>4000</v>
      </c>
      <c r="E1141" s="1">
        <v>11.5</v>
      </c>
      <c r="F1141" s="4" t="s">
        <v>10</v>
      </c>
      <c r="G1141" s="1" t="str">
        <f>IF(OR(ISERROR(SEARCH("recipiente",A1141))=FALSE, ISERROR(SEARCH("serbatoio",A1141))=FALSE, ISERROR(SEARCH("scambiatore",A1141))=FALSE),
    IF(D1141*E1141&gt;3000,"IV",
        IF(D1141*E1141&gt;1000,"III",
            IF(D1141*E1141&gt;200,"II",
                IF(D1141*E1141&gt;50,"I","")
            )
        )
    ),
    IF(ISERROR(SEARCH("valvola di sicurezza",A1141))=FALSE,"IV","")
)</f>
        <v>IV</v>
      </c>
    </row>
    <row r="1142" spans="1:7" x14ac:dyDescent="0.3">
      <c r="A1142" t="s">
        <v>7</v>
      </c>
      <c r="B1142" t="s">
        <v>943</v>
      </c>
      <c r="C1142" s="2" t="s">
        <v>925</v>
      </c>
      <c r="D1142" s="1">
        <v>1500</v>
      </c>
      <c r="E1142" s="1">
        <v>11.5</v>
      </c>
      <c r="F1142" s="4" t="s">
        <v>10</v>
      </c>
      <c r="G1142" s="1" t="str">
        <f>IF(OR(ISERROR(SEARCH("recipiente",A1142))=FALSE, ISERROR(SEARCH("serbatoio",A1142))=FALSE, ISERROR(SEARCH("scambiatore",A1142))=FALSE),
    IF(D1142*E1142&gt;3000,"IV",
        IF(D1142*E1142&gt;1000,"III",
            IF(D1142*E1142&gt;200,"II",
                IF(D1142*E1142&gt;50,"I","")
            )
        )
    ),
    IF(ISERROR(SEARCH("valvola di sicurezza",A1142))=FALSE,"IV","")
)</f>
        <v>IV</v>
      </c>
    </row>
    <row r="1143" spans="1:7" x14ac:dyDescent="0.3">
      <c r="A1143" t="s">
        <v>7</v>
      </c>
      <c r="B1143" t="s">
        <v>943</v>
      </c>
      <c r="C1143" s="2" t="s">
        <v>926</v>
      </c>
      <c r="D1143" s="1">
        <v>1000</v>
      </c>
      <c r="E1143" s="1">
        <v>11.5</v>
      </c>
      <c r="F1143" s="4" t="s">
        <v>10</v>
      </c>
      <c r="G1143" s="1" t="str">
        <f>IF(OR(ISERROR(SEARCH("recipiente",A1143))=FALSE, ISERROR(SEARCH("serbatoio",A1143))=FALSE, ISERROR(SEARCH("scambiatore",A1143))=FALSE),
    IF(D1143*E1143&gt;3000,"IV",
        IF(D1143*E1143&gt;1000,"III",
            IF(D1143*E1143&gt;200,"II",
                IF(D1143*E1143&gt;50,"I","")
            )
        )
    ),
    IF(ISERROR(SEARCH("valvola di sicurezza",A1143))=FALSE,"IV","")
)</f>
        <v>IV</v>
      </c>
    </row>
    <row r="1144" spans="1:7" x14ac:dyDescent="0.3">
      <c r="A1144" t="s">
        <v>7</v>
      </c>
      <c r="B1144" t="s">
        <v>943</v>
      </c>
      <c r="C1144" s="2" t="s">
        <v>927</v>
      </c>
      <c r="D1144" s="1">
        <v>1000</v>
      </c>
      <c r="E1144" s="1">
        <v>11.5</v>
      </c>
      <c r="F1144" s="4" t="s">
        <v>10</v>
      </c>
      <c r="G1144" s="1" t="str">
        <f>IF(OR(ISERROR(SEARCH("recipiente",A1144))=FALSE, ISERROR(SEARCH("serbatoio",A1144))=FALSE, ISERROR(SEARCH("scambiatore",A1144))=FALSE),
    IF(D1144*E1144&gt;3000,"IV",
        IF(D1144*E1144&gt;1000,"III",
            IF(D1144*E1144&gt;200,"II",
                IF(D1144*E1144&gt;50,"I","")
            )
        )
    ),
    IF(ISERROR(SEARCH("valvola di sicurezza",A1144))=FALSE,"IV","")
)</f>
        <v>IV</v>
      </c>
    </row>
    <row r="1145" spans="1:7" x14ac:dyDescent="0.3">
      <c r="A1145" t="s">
        <v>7</v>
      </c>
      <c r="B1145" t="s">
        <v>943</v>
      </c>
      <c r="C1145" s="2" t="s">
        <v>928</v>
      </c>
      <c r="D1145" s="1">
        <v>10000</v>
      </c>
      <c r="E1145" s="1">
        <v>11.5</v>
      </c>
      <c r="F1145" s="4" t="s">
        <v>10</v>
      </c>
      <c r="G1145" s="1" t="str">
        <f>IF(OR(ISERROR(SEARCH("recipiente",A1145))=FALSE, ISERROR(SEARCH("serbatoio",A1145))=FALSE, ISERROR(SEARCH("scambiatore",A1145))=FALSE),
    IF(D1145*E1145&gt;3000,"IV",
        IF(D1145*E1145&gt;1000,"III",
            IF(D1145*E1145&gt;200,"II",
                IF(D1145*E1145&gt;50,"I","")
            )
        )
    ),
    IF(ISERROR(SEARCH("valvola di sicurezza",A1145))=FALSE,"IV","")
)</f>
        <v>IV</v>
      </c>
    </row>
    <row r="1146" spans="1:7" x14ac:dyDescent="0.3">
      <c r="A1146" t="s">
        <v>7</v>
      </c>
      <c r="B1146" t="s">
        <v>943</v>
      </c>
      <c r="C1146" s="2" t="s">
        <v>929</v>
      </c>
      <c r="D1146" s="1">
        <v>1000</v>
      </c>
      <c r="E1146" s="1">
        <v>8</v>
      </c>
      <c r="F1146" s="4" t="s">
        <v>31</v>
      </c>
      <c r="G1146" s="1" t="str">
        <f>IF(OR(ISERROR(SEARCH("recipiente",A1146))=FALSE, ISERROR(SEARCH("serbatoio",A1146))=FALSE, ISERROR(SEARCH("scambiatore",A1146))=FALSE),
    IF(D1146*E1146&gt;3000,"IV",
        IF(D1146*E1146&gt;1000,"III",
            IF(D1146*E1146&gt;200,"II",
                IF(D1146*E1146&gt;50,"I","")
            )
        )
    ),
    IF(ISERROR(SEARCH("valvola di sicurezza",A1146))=FALSE,"IV","")
)</f>
        <v>IV</v>
      </c>
    </row>
    <row r="1147" spans="1:7" x14ac:dyDescent="0.3">
      <c r="A1147" t="s">
        <v>7</v>
      </c>
      <c r="B1147" t="s">
        <v>943</v>
      </c>
      <c r="C1147" s="2" t="s">
        <v>930</v>
      </c>
      <c r="D1147" s="1">
        <v>1000</v>
      </c>
      <c r="E1147" s="1">
        <v>16</v>
      </c>
      <c r="F1147" s="4" t="s">
        <v>10</v>
      </c>
      <c r="G1147" s="1" t="str">
        <f>IF(OR(ISERROR(SEARCH("recipiente",A1147))=FALSE, ISERROR(SEARCH("serbatoio",A1147))=FALSE, ISERROR(SEARCH("scambiatore",A1147))=FALSE),
    IF(D1147*E1147&gt;3000,"IV",
        IF(D1147*E1147&gt;1000,"III",
            IF(D1147*E1147&gt;200,"II",
                IF(D1147*E1147&gt;50,"I","")
            )
        )
    ),
    IF(ISERROR(SEARCH("valvola di sicurezza",A1147))=FALSE,"IV","")
)</f>
        <v>IV</v>
      </c>
    </row>
    <row r="1148" spans="1:7" x14ac:dyDescent="0.3">
      <c r="A1148" t="s">
        <v>7</v>
      </c>
      <c r="B1148" t="s">
        <v>943</v>
      </c>
      <c r="C1148" s="2" t="s">
        <v>931</v>
      </c>
      <c r="D1148" s="1">
        <v>5000</v>
      </c>
      <c r="E1148" s="1">
        <v>11.5</v>
      </c>
      <c r="F1148" s="4" t="s">
        <v>10</v>
      </c>
      <c r="G1148" s="1" t="str">
        <f>IF(OR(ISERROR(SEARCH("recipiente",A1148))=FALSE, ISERROR(SEARCH("serbatoio",A1148))=FALSE, ISERROR(SEARCH("scambiatore",A1148))=FALSE),
    IF(D1148*E1148&gt;3000,"IV",
        IF(D1148*E1148&gt;1000,"III",
            IF(D1148*E1148&gt;200,"II",
                IF(D1148*E1148&gt;50,"I","")
            )
        )
    ),
    IF(ISERROR(SEARCH("valvola di sicurezza",A1148))=FALSE,"IV","")
)</f>
        <v>IV</v>
      </c>
    </row>
    <row r="1149" spans="1:7" x14ac:dyDescent="0.3">
      <c r="A1149" t="s">
        <v>7</v>
      </c>
      <c r="B1149" t="s">
        <v>943</v>
      </c>
      <c r="C1149" s="2" t="s">
        <v>932</v>
      </c>
      <c r="D1149" s="1">
        <v>725</v>
      </c>
      <c r="E1149" s="1">
        <v>10.8</v>
      </c>
      <c r="F1149" s="4" t="s">
        <v>31</v>
      </c>
      <c r="G1149" s="1" t="str">
        <f>IF(OR(ISERROR(SEARCH("recipiente",A1149))=FALSE, ISERROR(SEARCH("serbatoio",A1149))=FALSE, ISERROR(SEARCH("scambiatore",A1149))=FALSE),
    IF(D1149*E1149&gt;3000,"IV",
        IF(D1149*E1149&gt;1000,"III",
            IF(D1149*E1149&gt;200,"II",
                IF(D1149*E1149&gt;50,"I","")
            )
        )
    ),
    IF(ISERROR(SEARCH("valvola di sicurezza",A1149))=FALSE,"IV","")
)</f>
        <v>IV</v>
      </c>
    </row>
    <row r="1150" spans="1:7" x14ac:dyDescent="0.3">
      <c r="A1150" t="s">
        <v>7</v>
      </c>
      <c r="B1150" t="s">
        <v>943</v>
      </c>
      <c r="C1150" s="2" t="s">
        <v>933</v>
      </c>
      <c r="D1150" s="1">
        <v>500</v>
      </c>
      <c r="E1150" s="1">
        <v>42</v>
      </c>
      <c r="F1150" s="4" t="s">
        <v>31</v>
      </c>
      <c r="G1150" s="1" t="str">
        <f>IF(OR(ISERROR(SEARCH("recipiente",A1150))=FALSE, ISERROR(SEARCH("serbatoio",A1150))=FALSE, ISERROR(SEARCH("scambiatore",A1150))=FALSE),
    IF(D1150*E1150&gt;3000,"IV",
        IF(D1150*E1150&gt;1000,"III",
            IF(D1150*E1150&gt;200,"II",
                IF(D1150*E1150&gt;50,"I","")
            )
        )
    ),
    IF(ISERROR(SEARCH("valvola di sicurezza",A1150))=FALSE,"IV","")
)</f>
        <v>IV</v>
      </c>
    </row>
    <row r="1151" spans="1:7" x14ac:dyDescent="0.3">
      <c r="A1151" t="s">
        <v>7</v>
      </c>
      <c r="B1151" t="s">
        <v>943</v>
      </c>
      <c r="C1151" s="2" t="s">
        <v>934</v>
      </c>
      <c r="D1151" s="1">
        <v>200</v>
      </c>
      <c r="E1151" s="1">
        <v>15</v>
      </c>
      <c r="F1151" s="4" t="s">
        <v>10</v>
      </c>
      <c r="G1151" s="1" t="str">
        <f>IF(OR(ISERROR(SEARCH("recipiente",A1151))=FALSE, ISERROR(SEARCH("serbatoio",A1151))=FALSE, ISERROR(SEARCH("scambiatore",A1151))=FALSE),
    IF(D1151*E1151&gt;3000,"IV",
        IF(D1151*E1151&gt;1000,"III",
            IF(D1151*E1151&gt;200,"II",
                IF(D1151*E1151&gt;50,"I","")
            )
        )
    ),
    IF(ISERROR(SEARCH("valvola di sicurezza",A1151))=FALSE,"IV","")
)</f>
        <v>III</v>
      </c>
    </row>
    <row r="1152" spans="1:7" x14ac:dyDescent="0.3">
      <c r="A1152" t="s">
        <v>33</v>
      </c>
      <c r="B1152" t="s">
        <v>943</v>
      </c>
      <c r="C1152" s="2" t="s">
        <v>935</v>
      </c>
      <c r="D1152" s="1">
        <v>185</v>
      </c>
      <c r="E1152" s="1">
        <v>16</v>
      </c>
      <c r="F1152" s="4" t="s">
        <v>10</v>
      </c>
      <c r="G1152" s="1" t="str">
        <f>IF(OR(ISERROR(SEARCH("recipiente",A1152))=FALSE, ISERROR(SEARCH("serbatoio",A1152))=FALSE, ISERROR(SEARCH("scambiatore",A1152))=FALSE),
    IF(D1152*E1152&gt;3000,"IV",
        IF(D1152*E1152&gt;1000,"III",
            IF(D1152*E1152&gt;200,"II",
                IF(D1152*E1152&gt;50,"I","")
            )
        )
    ),
    IF(ISERROR(SEARCH("valvola di sicurezza",A1152))=FALSE,"IV","")
)</f>
        <v>III</v>
      </c>
    </row>
    <row r="1153" spans="1:7" x14ac:dyDescent="0.3">
      <c r="A1153" t="s">
        <v>33</v>
      </c>
      <c r="B1153" t="s">
        <v>943</v>
      </c>
      <c r="C1153" s="2" t="s">
        <v>936</v>
      </c>
      <c r="D1153" s="1">
        <v>65</v>
      </c>
      <c r="E1153" s="1">
        <v>16</v>
      </c>
      <c r="F1153" s="4" t="s">
        <v>10</v>
      </c>
      <c r="G1153" s="1" t="str">
        <f>IF(OR(ISERROR(SEARCH("recipiente",A1153))=FALSE, ISERROR(SEARCH("serbatoio",A1153))=FALSE, ISERROR(SEARCH("scambiatore",A1153))=FALSE),
    IF(D1153*E1153&gt;3000,"IV",
        IF(D1153*E1153&gt;1000,"III",
            IF(D1153*E1153&gt;200,"II",
                IF(D1153*E1153&gt;50,"I","")
            )
        )
    ),
    IF(ISERROR(SEARCH("valvola di sicurezza",A1153))=FALSE,"IV","")
)</f>
        <v>III</v>
      </c>
    </row>
    <row r="1154" spans="1:7" x14ac:dyDescent="0.3">
      <c r="A1154" t="s">
        <v>33</v>
      </c>
      <c r="B1154" t="s">
        <v>943</v>
      </c>
      <c r="C1154" s="2" t="s">
        <v>937</v>
      </c>
      <c r="D1154" s="1">
        <v>55</v>
      </c>
      <c r="E1154" s="1">
        <v>16</v>
      </c>
      <c r="F1154" s="4" t="s">
        <v>10</v>
      </c>
      <c r="G1154" s="1" t="str">
        <f>IF(OR(ISERROR(SEARCH("recipiente",A1154))=FALSE, ISERROR(SEARCH("serbatoio",A1154))=FALSE, ISERROR(SEARCH("scambiatore",A1154))=FALSE),
    IF(D1154*E1154&gt;3000,"IV",
        IF(D1154*E1154&gt;1000,"III",
            IF(D1154*E1154&gt;200,"II",
                IF(D1154*E1154&gt;50,"I","")
            )
        )
    ),
    IF(ISERROR(SEARCH("valvola di sicurezza",A1154))=FALSE,"IV","")
)</f>
        <v>II</v>
      </c>
    </row>
    <row r="1155" spans="1:7" x14ac:dyDescent="0.3">
      <c r="A1155" t="s">
        <v>33</v>
      </c>
      <c r="B1155" t="s">
        <v>943</v>
      </c>
      <c r="C1155" s="2" t="s">
        <v>938</v>
      </c>
      <c r="D1155" s="1">
        <v>30</v>
      </c>
      <c r="E1155" s="1">
        <v>16</v>
      </c>
      <c r="F1155" s="4" t="s">
        <v>10</v>
      </c>
      <c r="G1155" s="1" t="str">
        <f>IF(OR(ISERROR(SEARCH("recipiente",A1155))=FALSE, ISERROR(SEARCH("serbatoio",A1155))=FALSE, ISERROR(SEARCH("scambiatore",A1155))=FALSE),
    IF(D1155*E1155&gt;3000,"IV",
        IF(D1155*E1155&gt;1000,"III",
            IF(D1155*E1155&gt;200,"II",
                IF(D1155*E1155&gt;50,"I","")
            )
        )
    ),
    IF(ISERROR(SEARCH("valvola di sicurezza",A1155))=FALSE,"IV","")
)</f>
        <v>II</v>
      </c>
    </row>
    <row r="1156" spans="1:7" x14ac:dyDescent="0.3">
      <c r="A1156" t="s">
        <v>33</v>
      </c>
      <c r="B1156" t="s">
        <v>943</v>
      </c>
      <c r="C1156" s="2" t="s">
        <v>939</v>
      </c>
      <c r="D1156" s="1">
        <v>30</v>
      </c>
      <c r="E1156" s="1">
        <v>16</v>
      </c>
      <c r="F1156" s="4" t="s">
        <v>10</v>
      </c>
      <c r="G1156" s="1" t="str">
        <f>IF(OR(ISERROR(SEARCH("recipiente",A1156))=FALSE, ISERROR(SEARCH("serbatoio",A1156))=FALSE, ISERROR(SEARCH("scambiatore",A1156))=FALSE),
    IF(D1156*E1156&gt;3000,"IV",
        IF(D1156*E1156&gt;1000,"III",
            IF(D1156*E1156&gt;200,"II",
                IF(D1156*E1156&gt;50,"I","")
            )
        )
    ),
    IF(ISERROR(SEARCH("valvola di sicurezza",A1156))=FALSE,"IV","")
)</f>
        <v>II</v>
      </c>
    </row>
    <row r="1157" spans="1:7" x14ac:dyDescent="0.3">
      <c r="A1157" t="s">
        <v>33</v>
      </c>
      <c r="B1157" t="s">
        <v>943</v>
      </c>
      <c r="C1157" s="2" t="s">
        <v>940</v>
      </c>
      <c r="D1157" s="1">
        <v>115</v>
      </c>
      <c r="E1157" s="1">
        <v>16</v>
      </c>
      <c r="F1157" s="4" t="s">
        <v>10</v>
      </c>
      <c r="G1157" s="1" t="str">
        <f>IF(OR(ISERROR(SEARCH("recipiente",A1157))=FALSE, ISERROR(SEARCH("serbatoio",A1157))=FALSE, ISERROR(SEARCH("scambiatore",A1157))=FALSE),
    IF(D1157*E1157&gt;3000,"IV",
        IF(D1157*E1157&gt;1000,"III",
            IF(D1157*E1157&gt;200,"II",
                IF(D1157*E1157&gt;50,"I","")
            )
        )
    ),
    IF(ISERROR(SEARCH("valvola di sicurezza",A1157))=FALSE,"IV","")
)</f>
        <v>III</v>
      </c>
    </row>
    <row r="1158" spans="1:7" x14ac:dyDescent="0.3">
      <c r="A1158" t="s">
        <v>33</v>
      </c>
      <c r="B1158" t="s">
        <v>943</v>
      </c>
      <c r="C1158" s="2" t="s">
        <v>941</v>
      </c>
      <c r="D1158" s="1">
        <v>30</v>
      </c>
      <c r="E1158" s="1">
        <v>15</v>
      </c>
      <c r="F1158" s="4" t="s">
        <v>10</v>
      </c>
      <c r="G1158" s="1" t="str">
        <f>IF(OR(ISERROR(SEARCH("recipiente",A1158))=FALSE, ISERROR(SEARCH("serbatoio",A1158))=FALSE, ISERROR(SEARCH("scambiatore",A1158))=FALSE),
    IF(D1158*E1158&gt;3000,"IV",
        IF(D1158*E1158&gt;1000,"III",
            IF(D1158*E1158&gt;200,"II",
                IF(D1158*E1158&gt;50,"I","")
            )
        )
    ),
    IF(ISERROR(SEARCH("valvola di sicurezza",A1158))=FALSE,"IV","")
)</f>
        <v>II</v>
      </c>
    </row>
    <row r="1159" spans="1:7" x14ac:dyDescent="0.3">
      <c r="A1159" t="s">
        <v>70</v>
      </c>
      <c r="B1159" t="s">
        <v>944</v>
      </c>
      <c r="C1159" s="2" t="s">
        <v>945</v>
      </c>
      <c r="D1159" s="9">
        <v>37649</v>
      </c>
      <c r="E1159" s="1">
        <v>42</v>
      </c>
      <c r="F1159" s="5"/>
      <c r="G1159" s="1" t="str">
        <f>IF(OR(ISERROR(SEARCH("recipiente",A1159))=FALSE, ISERROR(SEARCH("serbatoio",A1159))=FALSE, ISERROR(SEARCH("scambiatore",A1159))=FALSE),
    IF(#REF!*E1159&gt;3000,"IV",
        IF(#REF!*E1159&gt;1000,"III",
            IF(#REF!*E1159&gt;200,"II",
                IF(#REF!*E1159&gt;50,"I","")
            )
        )
    ),
    IF(ISERROR(SEARCH("valvola di sicurezza",A1159))=FALSE,"IV","")
)</f>
        <v>IV</v>
      </c>
    </row>
    <row r="1160" spans="1:7" x14ac:dyDescent="0.3">
      <c r="A1160" t="s">
        <v>70</v>
      </c>
      <c r="B1160" t="s">
        <v>944</v>
      </c>
      <c r="C1160" s="2" t="s">
        <v>946</v>
      </c>
      <c r="D1160" s="9">
        <v>19301</v>
      </c>
      <c r="E1160" s="1">
        <v>10</v>
      </c>
      <c r="F1160" s="5"/>
      <c r="G1160" s="1" t="str">
        <f>IF(OR(ISERROR(SEARCH("recipiente",A1160))=FALSE, ISERROR(SEARCH("serbatoio",A1160))=FALSE, ISERROR(SEARCH("scambiatore",A1160))=FALSE),
    IF(#REF!*E1160&gt;3000,"IV",
        IF(#REF!*E1160&gt;1000,"III",
            IF(#REF!*E1160&gt;200,"II",
                IF(#REF!*E1160&gt;50,"I","")
            )
        )
    ),
    IF(ISERROR(SEARCH("valvola di sicurezza",A1160))=FALSE,"IV","")
)</f>
        <v>IV</v>
      </c>
    </row>
    <row r="1161" spans="1:7" x14ac:dyDescent="0.3">
      <c r="A1161" t="s">
        <v>70</v>
      </c>
      <c r="B1161" t="s">
        <v>944</v>
      </c>
      <c r="C1161" s="2" t="s">
        <v>947</v>
      </c>
      <c r="D1161" s="9">
        <v>19984</v>
      </c>
      <c r="E1161" s="1">
        <v>12</v>
      </c>
      <c r="F1161" s="4" t="s">
        <v>73</v>
      </c>
      <c r="G1161" s="1" t="str">
        <f>IF(OR(ISERROR(SEARCH("recipiente",A1161))=FALSE, ISERROR(SEARCH("serbatoio",A1161))=FALSE, ISERROR(SEARCH("scambiatore",A1161))=FALSE),
    IF(#REF!*E1161&gt;3000,"IV",
        IF(#REF!*E1161&gt;1000,"III",
            IF(#REF!*E1161&gt;200,"II",
                IF(#REF!*E1161&gt;50,"I","")
            )
        )
    ),
    IF(ISERROR(SEARCH("valvola di sicurezza",A1161))=FALSE,"IV","")
)</f>
        <v>IV</v>
      </c>
    </row>
    <row r="1162" spans="1:7" x14ac:dyDescent="0.3">
      <c r="A1162" t="s">
        <v>70</v>
      </c>
      <c r="B1162" t="s">
        <v>944</v>
      </c>
      <c r="C1162" s="2" t="s">
        <v>948</v>
      </c>
      <c r="D1162" s="9">
        <v>52646</v>
      </c>
      <c r="E1162" s="1">
        <v>10.8</v>
      </c>
      <c r="F1162" s="4" t="s">
        <v>73</v>
      </c>
      <c r="G1162" s="1" t="str">
        <f>IF(OR(ISERROR(SEARCH("recipiente",A1162))=FALSE, ISERROR(SEARCH("serbatoio",A1162))=FALSE, ISERROR(SEARCH("scambiatore",A1162))=FALSE),
    IF(#REF!*E1162&gt;3000,"IV",
        IF(#REF!*E1162&gt;1000,"III",
            IF(#REF!*E1162&gt;200,"II",
                IF(#REF!*E1162&gt;50,"I","")
            )
        )
    ),
    IF(ISERROR(SEARCH("valvola di sicurezza",A1162))=FALSE,"IV","")
)</f>
        <v>IV</v>
      </c>
    </row>
    <row r="1163" spans="1:7" x14ac:dyDescent="0.3">
      <c r="A1163" t="s">
        <v>70</v>
      </c>
      <c r="B1163" t="s">
        <v>944</v>
      </c>
      <c r="C1163" s="2" t="s">
        <v>949</v>
      </c>
      <c r="D1163" s="9">
        <v>55344</v>
      </c>
      <c r="E1163" s="1">
        <v>11.4</v>
      </c>
      <c r="F1163" s="4" t="s">
        <v>73</v>
      </c>
      <c r="G1163" s="1" t="str">
        <f>IF(OR(ISERROR(SEARCH("recipiente",A1163))=FALSE, ISERROR(SEARCH("serbatoio",A1163))=FALSE, ISERROR(SEARCH("scambiatore",A1163))=FALSE),
    IF(#REF!*E1163&gt;3000,"IV",
        IF(#REF!*E1163&gt;1000,"III",
            IF(#REF!*E1163&gt;200,"II",
                IF(#REF!*E1163&gt;50,"I","")
            )
        )
    ),
    IF(ISERROR(SEARCH("valvola di sicurezza",A1163))=FALSE,"IV","")
)</f>
        <v>IV</v>
      </c>
    </row>
    <row r="1164" spans="1:7" x14ac:dyDescent="0.3">
      <c r="A1164" t="s">
        <v>70</v>
      </c>
      <c r="B1164" t="s">
        <v>944</v>
      </c>
      <c r="C1164" s="2" t="s">
        <v>950</v>
      </c>
      <c r="D1164" s="9">
        <v>55793</v>
      </c>
      <c r="E1164" s="1">
        <v>11.5</v>
      </c>
      <c r="F1164" s="4" t="s">
        <v>73</v>
      </c>
      <c r="G1164" s="1" t="str">
        <f>IF(OR(ISERROR(SEARCH("recipiente",A1164))=FALSE, ISERROR(SEARCH("serbatoio",A1164))=FALSE, ISERROR(SEARCH("scambiatore",A1164))=FALSE),
    IF(#REF!*E1164&gt;3000,"IV",
        IF(#REF!*E1164&gt;1000,"III",
            IF(#REF!*E1164&gt;200,"II",
                IF(#REF!*E1164&gt;50,"I","")
            )
        )
    ),
    IF(ISERROR(SEARCH("valvola di sicurezza",A1164))=FALSE,"IV","")
)</f>
        <v>IV</v>
      </c>
    </row>
    <row r="1165" spans="1:7" x14ac:dyDescent="0.3">
      <c r="A1165" t="s">
        <v>70</v>
      </c>
      <c r="B1165" t="s">
        <v>944</v>
      </c>
      <c r="C1165" s="2" t="s">
        <v>951</v>
      </c>
      <c r="D1165" s="9">
        <v>81527.600000000006</v>
      </c>
      <c r="E1165" s="1">
        <v>10.8</v>
      </c>
      <c r="F1165" s="4" t="s">
        <v>73</v>
      </c>
      <c r="G1165" s="1" t="str">
        <f>IF(OR(ISERROR(SEARCH("recipiente",A1165))=FALSE, ISERROR(SEARCH("serbatoio",A1165))=FALSE, ISERROR(SEARCH("scambiatore",A1165))=FALSE),
    IF(#REF!*E1165&gt;3000,"IV",
        IF(#REF!*E1165&gt;1000,"III",
            IF(#REF!*E1165&gt;200,"II",
                IF(#REF!*E1165&gt;50,"I","")
            )
        )
    ),
    IF(ISERROR(SEARCH("valvola di sicurezza",A1165))=FALSE,"IV","")
)</f>
        <v>IV</v>
      </c>
    </row>
    <row r="1166" spans="1:7" x14ac:dyDescent="0.3">
      <c r="A1166" t="s">
        <v>70</v>
      </c>
      <c r="B1166" t="s">
        <v>944</v>
      </c>
      <c r="C1166" s="2" t="s">
        <v>952</v>
      </c>
      <c r="D1166" s="9">
        <v>91992</v>
      </c>
      <c r="E1166" s="1">
        <v>11.4</v>
      </c>
      <c r="F1166" s="4" t="s">
        <v>73</v>
      </c>
      <c r="G1166" s="1" t="str">
        <f>IF(OR(ISERROR(SEARCH("recipiente",A1166))=FALSE, ISERROR(SEARCH("serbatoio",A1166))=FALSE, ISERROR(SEARCH("scambiatore",A1166))=FALSE),
    IF(#REF!*E1166&gt;3000,"IV",
        IF(#REF!*E1166&gt;1000,"III",
            IF(#REF!*E1166&gt;200,"II",
                IF(#REF!*E1166&gt;50,"I","")
            )
        )
    ),
    IF(ISERROR(SEARCH("valvola di sicurezza",A1166))=FALSE,"IV","")
)</f>
        <v>IV</v>
      </c>
    </row>
    <row r="1167" spans="1:7" x14ac:dyDescent="0.3">
      <c r="A1167" t="s">
        <v>70</v>
      </c>
      <c r="B1167" t="s">
        <v>944</v>
      </c>
      <c r="C1167" s="2" t="s">
        <v>953</v>
      </c>
      <c r="D1167" s="9">
        <v>26176</v>
      </c>
      <c r="E1167" s="1">
        <v>16</v>
      </c>
      <c r="F1167" s="5"/>
      <c r="G1167" s="1" t="str">
        <f>IF(OR(ISERROR(SEARCH("recipiente",A1167))=FALSE, ISERROR(SEARCH("serbatoio",A1167))=FALSE, ISERROR(SEARCH("scambiatore",A1167))=FALSE),
    IF(#REF!*E1167&gt;3000,"IV",
        IF(#REF!*E1167&gt;1000,"III",
            IF(#REF!*E1167&gt;200,"II",
                IF(#REF!*E1167&gt;50,"I","")
            )
        )
    ),
    IF(ISERROR(SEARCH("valvola di sicurezza",A1167))=FALSE,"IV","")
)</f>
        <v>IV</v>
      </c>
    </row>
    <row r="1168" spans="1:7" x14ac:dyDescent="0.3">
      <c r="A1168" t="s">
        <v>65</v>
      </c>
      <c r="B1168" t="s">
        <v>954</v>
      </c>
      <c r="C1168" s="2" t="s">
        <v>955</v>
      </c>
      <c r="D1168" s="1">
        <f>131*60</f>
        <v>7860</v>
      </c>
      <c r="E1168" s="1">
        <v>8.5</v>
      </c>
      <c r="F1168" s="5"/>
      <c r="G1168" s="1" t="str">
        <f>IF(OR(ISERROR(SEARCH("recipiente",A1168))=FALSE, ISERROR(SEARCH("serbatoio",A1168))=FALSE, ISERROR(SEARCH("scambiatore",A1168))=FALSE),
    IF(#REF!*E1168&gt;3000,"IV",
        IF(#REF!*E1168&gt;1000,"III",
            IF(#REF!*E1168&gt;200,"II",
                IF(#REF!*E1168&gt;50,"I","")
            )
        )
    ),
    IF(ISERROR(SEARCH("valvola di sicurezza",A1168))=FALSE,"IV","")
)</f>
        <v/>
      </c>
    </row>
    <row r="1169" spans="1:7" x14ac:dyDescent="0.3">
      <c r="A1169" t="s">
        <v>65</v>
      </c>
      <c r="B1169" t="s">
        <v>954</v>
      </c>
      <c r="C1169" s="2" t="s">
        <v>956</v>
      </c>
      <c r="D1169" s="1">
        <v>1700</v>
      </c>
      <c r="E1169" s="1">
        <v>8</v>
      </c>
      <c r="F1169" s="5"/>
      <c r="G1169" s="1" t="str">
        <f>IF(OR(ISERROR(SEARCH("recipiente",A1169))=FALSE, ISERROR(SEARCH("serbatoio",A1169))=FALSE, ISERROR(SEARCH("scambiatore",A1169))=FALSE),
    IF(#REF!*E1169&gt;3000,"IV",
        IF(#REF!*E1169&gt;1000,"III",
            IF(#REF!*E1169&gt;200,"II",
                IF(#REF!*E1169&gt;50,"I","")
            )
        )
    ),
    IF(ISERROR(SEARCH("valvola di sicurezza",A1169))=FALSE,"IV","")
)</f>
        <v/>
      </c>
    </row>
    <row r="1170" spans="1:7" x14ac:dyDescent="0.3">
      <c r="A1170" t="s">
        <v>65</v>
      </c>
      <c r="B1170" t="s">
        <v>954</v>
      </c>
      <c r="C1170" s="2" t="s">
        <v>957</v>
      </c>
      <c r="D1170" s="1">
        <v>3100</v>
      </c>
      <c r="E1170" s="1">
        <v>10</v>
      </c>
      <c r="F1170" s="5"/>
      <c r="G1170" s="1" t="str">
        <f>IF(OR(ISERROR(SEARCH("recipiente",A1170))=FALSE, ISERROR(SEARCH("serbatoio",A1170))=FALSE, ISERROR(SEARCH("scambiatore",A1170))=FALSE),
    IF(#REF!*E1170&gt;3000,"IV",
        IF(#REF!*E1170&gt;1000,"III",
            IF(#REF!*E1170&gt;200,"II",
                IF(#REF!*E1170&gt;50,"I","")
            )
        )
    ),
    IF(ISERROR(SEARCH("valvola di sicurezza",A1170))=FALSE,"IV","")
)</f>
        <v/>
      </c>
    </row>
    <row r="1171" spans="1:7" x14ac:dyDescent="0.3">
      <c r="A1171" t="s">
        <v>65</v>
      </c>
      <c r="B1171" t="s">
        <v>954</v>
      </c>
      <c r="C1171" s="2" t="s">
        <v>958</v>
      </c>
      <c r="D1171" s="1">
        <v>1434</v>
      </c>
      <c r="E1171" s="1">
        <v>11</v>
      </c>
      <c r="F1171" s="5"/>
      <c r="G1171" s="1" t="str">
        <f>IF(OR(ISERROR(SEARCH("recipiente",A1171))=FALSE, ISERROR(SEARCH("serbatoio",A1171))=FALSE, ISERROR(SEARCH("scambiatore",A1171))=FALSE),
    IF(#REF!*E1171&gt;3000,"IV",
        IF(#REF!*E1171&gt;1000,"III",
            IF(#REF!*E1171&gt;200,"II",
                IF(#REF!*E1171&gt;50,"I","")
            )
        )
    ),
    IF(ISERROR(SEARCH("valvola di sicurezza",A1171))=FALSE,"IV","")
)</f>
        <v/>
      </c>
    </row>
    <row r="1172" spans="1:7" x14ac:dyDescent="0.3">
      <c r="A1172" t="s">
        <v>65</v>
      </c>
      <c r="B1172" t="s">
        <v>954</v>
      </c>
      <c r="C1172" s="2" t="s">
        <v>959</v>
      </c>
      <c r="D1172" s="10">
        <f>41500/60</f>
        <v>691.66666666666663</v>
      </c>
      <c r="E1172" s="1">
        <v>10</v>
      </c>
      <c r="F1172" s="5"/>
      <c r="G1172" s="1" t="str">
        <f>IF(OR(ISERROR(SEARCH("recipiente",A1172))=FALSE, ISERROR(SEARCH("serbatoio",A1172))=FALSE, ISERROR(SEARCH("scambiatore",A1172))=FALSE),
    IF(#REF!*E1172&gt;3000,"IV",
        IF(#REF!*E1172&gt;1000,"III",
            IF(#REF!*E1172&gt;200,"II",
                IF(#REF!*E1172&gt;50,"I","")
            )
        )
    ),
    IF(ISERROR(SEARCH("valvola di sicurezza",A1172))=FALSE,"IV","")
)</f>
        <v/>
      </c>
    </row>
    <row r="1173" spans="1:7" x14ac:dyDescent="0.3">
      <c r="A1173" t="s">
        <v>65</v>
      </c>
      <c r="B1173" t="s">
        <v>954</v>
      </c>
      <c r="C1173" s="2" t="s">
        <v>960</v>
      </c>
      <c r="D1173" s="10">
        <v>999.6</v>
      </c>
      <c r="E1173" s="1">
        <v>10</v>
      </c>
      <c r="F1173" s="5"/>
      <c r="G1173" s="1" t="str">
        <f>IF(OR(ISERROR(SEARCH("recipiente",A1173))=FALSE, ISERROR(SEARCH("serbatoio",A1173))=FALSE, ISERROR(SEARCH("scambiatore",A1173))=FALSE),
    IF(#REF!*E1173&gt;3000,"IV",
        IF(#REF!*E1173&gt;1000,"III",
            IF(#REF!*E1173&gt;200,"II",
                IF(#REF!*E1173&gt;50,"I","")
            )
        )
    ),
    IF(ISERROR(SEARCH("valvola di sicurezza",A1173))=FALSE,"IV","")
)</f>
        <v/>
      </c>
    </row>
    <row r="1174" spans="1:7" x14ac:dyDescent="0.3">
      <c r="A1174" t="s">
        <v>65</v>
      </c>
      <c r="B1174" t="s">
        <v>954</v>
      </c>
      <c r="C1174" s="2" t="s">
        <v>961</v>
      </c>
      <c r="D1174" s="10">
        <f>19.4*60</f>
        <v>1164</v>
      </c>
      <c r="E1174" s="1">
        <v>8</v>
      </c>
      <c r="F1174" s="5"/>
      <c r="G1174" s="1" t="str">
        <f>IF(OR(ISERROR(SEARCH("recipiente",A1174))=FALSE, ISERROR(SEARCH("serbatoio",A1174))=FALSE, ISERROR(SEARCH("scambiatore",A1174))=FALSE),
    IF(#REF!*E1174&gt;3000,"IV",
        IF(#REF!*E1174&gt;1000,"III",
            IF(#REF!*E1174&gt;200,"II",
                IF(#REF!*E1174&gt;50,"I","")
            )
        )
    ),
    IF(ISERROR(SEARCH("valvola di sicurezza",A1174))=FALSE,"IV","")
)</f>
        <v/>
      </c>
    </row>
    <row r="1175" spans="1:7" x14ac:dyDescent="0.3">
      <c r="A1175" t="s">
        <v>65</v>
      </c>
      <c r="B1175" t="s">
        <v>954</v>
      </c>
      <c r="C1175" s="2" t="s">
        <v>962</v>
      </c>
      <c r="D1175" s="10">
        <f>16.6*60</f>
        <v>996.00000000000011</v>
      </c>
      <c r="E1175" s="1">
        <v>10</v>
      </c>
      <c r="F1175" s="5"/>
      <c r="G1175" s="1" t="str">
        <f>IF(OR(ISERROR(SEARCH("recipiente",A1175))=FALSE, ISERROR(SEARCH("serbatoio",A1175))=FALSE, ISERROR(SEARCH("scambiatore",A1175))=FALSE),
    IF(#REF!*E1175&gt;3000,"IV",
        IF(#REF!*E1175&gt;1000,"III",
            IF(#REF!*E1175&gt;200,"II",
                IF(#REF!*E1175&gt;50,"I","")
            )
        )
    ),
    IF(ISERROR(SEARCH("valvola di sicurezza",A1175))=FALSE,"IV","")
)</f>
        <v/>
      </c>
    </row>
    <row r="1176" spans="1:7" x14ac:dyDescent="0.3">
      <c r="A1176" t="s">
        <v>65</v>
      </c>
      <c r="B1176" t="s">
        <v>954</v>
      </c>
      <c r="C1176" s="2" t="s">
        <v>963</v>
      </c>
      <c r="D1176" s="10">
        <f>13.3*60</f>
        <v>798</v>
      </c>
      <c r="E1176" s="1">
        <v>13</v>
      </c>
      <c r="F1176" s="5"/>
      <c r="G1176" s="1" t="str">
        <f>IF(OR(ISERROR(SEARCH("recipiente",A1176))=FALSE, ISERROR(SEARCH("serbatoio",A1176))=FALSE, ISERROR(SEARCH("scambiatore",A1176))=FALSE),
    IF(#REF!*E1176&gt;3000,"IV",
        IF(#REF!*E1176&gt;1000,"III",
            IF(#REF!*E1176&gt;200,"II",
                IF(#REF!*E1176&gt;50,"I","")
            )
        )
    ),
    IF(ISERROR(SEARCH("valvola di sicurezza",A1176))=FALSE,"IV","")
)</f>
        <v/>
      </c>
    </row>
    <row r="1177" spans="1:7" x14ac:dyDescent="0.3">
      <c r="A1177" t="s">
        <v>65</v>
      </c>
      <c r="B1177" t="s">
        <v>954</v>
      </c>
      <c r="C1177" s="2" t="s">
        <v>964</v>
      </c>
      <c r="D1177" s="10">
        <f>28.3*60</f>
        <v>1698</v>
      </c>
      <c r="E1177" s="1">
        <v>8</v>
      </c>
      <c r="F1177" s="5"/>
      <c r="G1177" s="1" t="str">
        <f>IF(OR(ISERROR(SEARCH("recipiente",A1177))=FALSE, ISERROR(SEARCH("serbatoio",A1177))=FALSE, ISERROR(SEARCH("scambiatore",A1177))=FALSE),
    IF(#REF!*E1177&gt;3000,"IV",
        IF(#REF!*E1177&gt;1000,"III",
            IF(#REF!*E1177&gt;200,"II",
                IF(#REF!*E1177&gt;50,"I","")
            )
        )
    ),
    IF(ISERROR(SEARCH("valvola di sicurezza",A1177))=FALSE,"IV","")
)</f>
        <v/>
      </c>
    </row>
    <row r="1178" spans="1:7" x14ac:dyDescent="0.3">
      <c r="A1178" t="s">
        <v>65</v>
      </c>
      <c r="B1178" t="s">
        <v>954</v>
      </c>
      <c r="C1178" s="2" t="s">
        <v>965</v>
      </c>
      <c r="D1178" s="10">
        <f>23.9*60</f>
        <v>1434</v>
      </c>
      <c r="E1178" s="1">
        <v>10</v>
      </c>
      <c r="F1178" s="5"/>
      <c r="G1178" s="1" t="str">
        <f>IF(OR(ISERROR(SEARCH("recipiente",A1178))=FALSE, ISERROR(SEARCH("serbatoio",A1178))=FALSE, ISERROR(SEARCH("scambiatore",A1178))=FALSE),
    IF(#REF!*E1178&gt;3000,"IV",
        IF(#REF!*E1178&gt;1000,"III",
            IF(#REF!*E1178&gt;200,"II",
                IF(#REF!*E1178&gt;50,"I","")
            )
        )
    ),
    IF(ISERROR(SEARCH("valvola di sicurezza",A1178))=FALSE,"IV","")
)</f>
        <v/>
      </c>
    </row>
    <row r="1179" spans="1:7" x14ac:dyDescent="0.3">
      <c r="A1179" t="s">
        <v>65</v>
      </c>
      <c r="B1179" t="s">
        <v>954</v>
      </c>
      <c r="C1179" s="2" t="s">
        <v>966</v>
      </c>
      <c r="D1179" s="10">
        <f>19.9*60</f>
        <v>1194</v>
      </c>
      <c r="E1179" s="1">
        <v>13</v>
      </c>
      <c r="F1179" s="5"/>
      <c r="G1179" s="1" t="str">
        <f>IF(OR(ISERROR(SEARCH("recipiente",A1179))=FALSE, ISERROR(SEARCH("serbatoio",A1179))=FALSE, ISERROR(SEARCH("scambiatore",A1179))=FALSE),
    IF(#REF!*E1179&gt;3000,"IV",
        IF(#REF!*E1179&gt;1000,"III",
            IF(#REF!*E1179&gt;200,"II",
                IF(#REF!*E1179&gt;50,"I","")
            )
        )
    ),
    IF(ISERROR(SEARCH("valvola di sicurezza",A1179))=FALSE,"IV","")
)</f>
        <v/>
      </c>
    </row>
    <row r="1180" spans="1:7" x14ac:dyDescent="0.3">
      <c r="A1180" t="s">
        <v>65</v>
      </c>
      <c r="B1180" t="s">
        <v>954</v>
      </c>
      <c r="C1180" s="2" t="s">
        <v>967</v>
      </c>
      <c r="D1180" s="10">
        <f>33.8*60</f>
        <v>2027.9999999999998</v>
      </c>
      <c r="E1180" s="1">
        <v>8</v>
      </c>
      <c r="F1180" s="5"/>
      <c r="G1180" s="1" t="str">
        <f>IF(OR(ISERROR(SEARCH("recipiente",A1180))=FALSE, ISERROR(SEARCH("serbatoio",A1180))=FALSE, ISERROR(SEARCH("scambiatore",A1180))=FALSE),
    IF(#REF!*E1180&gt;3000,"IV",
        IF(#REF!*E1180&gt;1000,"III",
            IF(#REF!*E1180&gt;200,"II",
                IF(#REF!*E1180&gt;50,"I","")
            )
        )
    ),
    IF(ISERROR(SEARCH("valvola di sicurezza",A1180))=FALSE,"IV","")
)</f>
        <v/>
      </c>
    </row>
    <row r="1181" spans="1:7" x14ac:dyDescent="0.3">
      <c r="A1181" t="s">
        <v>65</v>
      </c>
      <c r="B1181" t="s">
        <v>954</v>
      </c>
      <c r="C1181" s="2" t="s">
        <v>968</v>
      </c>
      <c r="D1181" s="10">
        <f>30.2*60</f>
        <v>1812</v>
      </c>
      <c r="E1181" s="1">
        <v>10</v>
      </c>
      <c r="F1181" s="5"/>
      <c r="G1181" s="1" t="str">
        <f>IF(OR(ISERROR(SEARCH("recipiente",A1181))=FALSE, ISERROR(SEARCH("serbatoio",A1181))=FALSE, ISERROR(SEARCH("scambiatore",A1181))=FALSE),
    IF(#REF!*E1181&gt;3000,"IV",
        IF(#REF!*E1181&gt;1000,"III",
            IF(#REF!*E1181&gt;200,"II",
                IF(#REF!*E1181&gt;50,"I","")
            )
        )
    ),
    IF(ISERROR(SEARCH("valvola di sicurezza",A1181))=FALSE,"IV","")
)</f>
        <v/>
      </c>
    </row>
    <row r="1182" spans="1:7" x14ac:dyDescent="0.3">
      <c r="A1182" t="s">
        <v>65</v>
      </c>
      <c r="B1182" t="s">
        <v>954</v>
      </c>
      <c r="C1182" s="2" t="s">
        <v>969</v>
      </c>
      <c r="D1182" s="10">
        <f>25.3*60</f>
        <v>1518</v>
      </c>
      <c r="E1182" s="1">
        <v>13</v>
      </c>
      <c r="F1182" s="5"/>
      <c r="G1182" s="1" t="str">
        <f>IF(OR(ISERROR(SEARCH("recipiente",A1182))=FALSE, ISERROR(SEARCH("serbatoio",A1182))=FALSE, ISERROR(SEARCH("scambiatore",A1182))=FALSE),
    IF(#REF!*E1182&gt;3000,"IV",
        IF(#REF!*E1182&gt;1000,"III",
            IF(#REF!*E1182&gt;200,"II",
                IF(#REF!*E1182&gt;50,"I","")
            )
        )
    ),
    IF(ISERROR(SEARCH("valvola di sicurezza",A1182))=FALSE,"IV","")
)</f>
        <v/>
      </c>
    </row>
    <row r="1183" spans="1:7" x14ac:dyDescent="0.3">
      <c r="A1183" t="s">
        <v>65</v>
      </c>
      <c r="B1183" t="s">
        <v>954</v>
      </c>
      <c r="C1183" s="2" t="s">
        <v>970</v>
      </c>
      <c r="D1183" s="10">
        <v>2883</v>
      </c>
      <c r="E1183" s="1">
        <v>8</v>
      </c>
      <c r="F1183" s="5"/>
      <c r="G1183" s="1" t="str">
        <f>IF(OR(ISERROR(SEARCH("recipiente",A1183))=FALSE, ISERROR(SEARCH("serbatoio",A1183))=FALSE, ISERROR(SEARCH("scambiatore",A1183))=FALSE),
    IF(#REF!*E1183&gt;3000,"IV",
        IF(#REF!*E1183&gt;1000,"III",
            IF(#REF!*E1183&gt;200,"II",
                IF(#REF!*E1183&gt;50,"I","")
            )
        )
    ),
    IF(ISERROR(SEARCH("valvola di sicurezza",A1183))=FALSE,"IV","")
)</f>
        <v/>
      </c>
    </row>
    <row r="1184" spans="1:7" x14ac:dyDescent="0.3">
      <c r="A1184" t="s">
        <v>65</v>
      </c>
      <c r="B1184" t="s">
        <v>954</v>
      </c>
      <c r="C1184" s="2" t="s">
        <v>971</v>
      </c>
      <c r="D1184" s="10">
        <v>2583</v>
      </c>
      <c r="E1184" s="1">
        <v>10</v>
      </c>
      <c r="F1184" s="5"/>
      <c r="G1184" s="1" t="str">
        <f>IF(OR(ISERROR(SEARCH("recipiente",A1184))=FALSE, ISERROR(SEARCH("serbatoio",A1184))=FALSE, ISERROR(SEARCH("scambiatore",A1184))=FALSE),
    IF(#REF!*E1184&gt;3000,"IV",
        IF(#REF!*E1184&gt;1000,"III",
            IF(#REF!*E1184&gt;200,"II",
                IF(#REF!*E1184&gt;50,"I","")
            )
        )
    ),
    IF(ISERROR(SEARCH("valvola di sicurezza",A1184))=FALSE,"IV","")
)</f>
        <v/>
      </c>
    </row>
    <row r="1185" spans="1:7" x14ac:dyDescent="0.3">
      <c r="A1185" t="s">
        <v>65</v>
      </c>
      <c r="B1185" t="s">
        <v>954</v>
      </c>
      <c r="C1185" s="2" t="s">
        <v>972</v>
      </c>
      <c r="D1185" s="10">
        <f>155*1000/60</f>
        <v>2583.3333333333335</v>
      </c>
      <c r="E1185" s="1">
        <v>10</v>
      </c>
      <c r="F1185" s="5"/>
      <c r="G1185" s="1" t="str">
        <f>IF(OR(ISERROR(SEARCH("recipiente",A1185))=FALSE, ISERROR(SEARCH("serbatoio",A1185))=FALSE, ISERROR(SEARCH("scambiatore",A1185))=FALSE),
    IF(#REF!*E1185&gt;3000,"IV",
        IF(#REF!*E1185&gt;1000,"III",
            IF(#REF!*E1185&gt;200,"II",
                IF(#REF!*E1185&gt;50,"I","")
            )
        )
    ),
    IF(ISERROR(SEARCH("valvola di sicurezza",A1185))=FALSE,"IV","")
)</f>
        <v/>
      </c>
    </row>
    <row r="1186" spans="1:7" x14ac:dyDescent="0.3">
      <c r="A1186" t="s">
        <v>65</v>
      </c>
      <c r="B1186" t="s">
        <v>954</v>
      </c>
      <c r="C1186" s="2" t="s">
        <v>973</v>
      </c>
      <c r="D1186" s="10">
        <f>318/60*1000</f>
        <v>5300</v>
      </c>
      <c r="E1186" s="1">
        <v>8</v>
      </c>
      <c r="F1186" s="5"/>
      <c r="G1186" s="1" t="str">
        <f>IF(OR(ISERROR(SEARCH("recipiente",A1186))=FALSE, ISERROR(SEARCH("serbatoio",A1186))=FALSE, ISERROR(SEARCH("scambiatore",A1186))=FALSE),
    IF(#REF!*E1186&gt;3000,"IV",
        IF(#REF!*E1186&gt;1000,"III",
            IF(#REF!*E1186&gt;200,"II",
                IF(#REF!*E1186&gt;50,"I","")
            )
        )
    ),
    IF(ISERROR(SEARCH("valvola di sicurezza",A1186))=FALSE,"IV","")
)</f>
        <v/>
      </c>
    </row>
    <row r="1187" spans="1:7" x14ac:dyDescent="0.3">
      <c r="A1187" t="s">
        <v>65</v>
      </c>
      <c r="B1187" t="s">
        <v>954</v>
      </c>
      <c r="C1187" s="2" t="s">
        <v>974</v>
      </c>
      <c r="D1187" s="10">
        <f>151*60</f>
        <v>9060</v>
      </c>
      <c r="E1187" s="1">
        <v>13</v>
      </c>
      <c r="F1187" s="5"/>
      <c r="G1187" s="1" t="str">
        <f>IF(OR(ISERROR(SEARCH("recipiente",A1187))=FALSE, ISERROR(SEARCH("serbatoio",A1187))=FALSE, ISERROR(SEARCH("scambiatore",A1187))=FALSE),
    IF(#REF!*E1187&gt;3000,"IV",
        IF(#REF!*E1187&gt;1000,"III",
            IF(#REF!*E1187&gt;200,"II",
                IF(#REF!*E1187&gt;50,"I","")
            )
        )
    ),
    IF(ISERROR(SEARCH("valvola di sicurezza",A1187))=FALSE,"IV","")
)</f>
        <v/>
      </c>
    </row>
    <row r="1188" spans="1:7" x14ac:dyDescent="0.3">
      <c r="A1188" t="s">
        <v>65</v>
      </c>
      <c r="B1188" t="s">
        <v>954</v>
      </c>
      <c r="C1188" s="2" t="s">
        <v>1002</v>
      </c>
      <c r="D1188" s="1">
        <v>3126</v>
      </c>
      <c r="E1188" s="1">
        <v>8</v>
      </c>
      <c r="F1188" s="5"/>
      <c r="G1188" s="1" t="str">
        <f>IF(OR(ISERROR(SEARCH("recipiente",A1188))=FALSE, ISERROR(SEARCH("serbatoio",A1188))=FALSE, ISERROR(SEARCH("scambiatore",A1188))=FALSE),
    IF(D1188*E1188&gt;3000,"IV",
        IF(D1188*E1188&gt;1000,"III",
            IF(D1188*E1188&gt;200,"II",
                IF(D1188*E1188&gt;50,"I","")
            )
        )
    ),
    IF(ISERROR(SEARCH("valvola di sicurezza",A1188))=FALSE,"IV","")
)</f>
        <v/>
      </c>
    </row>
    <row r="1189" spans="1:7" x14ac:dyDescent="0.3">
      <c r="A1189" t="s">
        <v>7</v>
      </c>
      <c r="B1189" t="s">
        <v>975</v>
      </c>
      <c r="C1189" s="2" t="s">
        <v>976</v>
      </c>
      <c r="D1189" s="1">
        <v>720</v>
      </c>
      <c r="E1189" s="1">
        <v>11</v>
      </c>
      <c r="F1189" s="3" t="s">
        <v>977</v>
      </c>
      <c r="G1189" s="1" t="str">
        <f>IF(OR(ISERROR(SEARCH("recipiente",A1189))=FALSE, ISERROR(SEARCH("serbatoio",A1189))=FALSE, ISERROR(SEARCH("scambiatore",A1189))=FALSE),
    IF(D1189*E1189&gt;3000,"IV",
        IF(D1189*E1189&gt;1000,"III",
            IF(D1189*E1189&gt;200,"II",
                IF(D1189*E1189&gt;50,"I","")
            )
        )
    ),
    IF(ISERROR(SEARCH("valvola di sicurezza",A1189))=FALSE,"IV","")
)</f>
        <v>IV</v>
      </c>
    </row>
    <row r="1190" spans="1:7" x14ac:dyDescent="0.3">
      <c r="A1190" t="s">
        <v>33</v>
      </c>
      <c r="B1190" t="s">
        <v>1007</v>
      </c>
      <c r="C1190" s="2" t="s">
        <v>1008</v>
      </c>
      <c r="D1190" s="1">
        <v>45</v>
      </c>
      <c r="E1190" s="1">
        <v>16</v>
      </c>
      <c r="F1190" s="3" t="s">
        <v>10</v>
      </c>
      <c r="G1190" s="1" t="str">
        <f>IF(OR(ISERROR(SEARCH("recipiente",A1190))=FALSE, ISERROR(SEARCH("serbatoio",A1190))=FALSE, ISERROR(SEARCH("scambiatore",A1190))=FALSE),
    IF(D1190*E1190&gt;3000,"IV",
        IF(D1190*E1190&gt;1000,"III",
            IF(D1190*E1190&gt;200,"II",
                IF(D1190*E1190&gt;50,"I","")
            )
        )
    ),
    IF(ISERROR(SEARCH("valvola di sicurezza",A1190))=FALSE,"IV","")
)</f>
        <v>II</v>
      </c>
    </row>
    <row r="1191" spans="1:7" x14ac:dyDescent="0.3">
      <c r="C1191" s="2"/>
      <c r="D1191" s="1"/>
      <c r="E1191" s="1"/>
      <c r="F1191" s="5"/>
      <c r="G1191" s="1" t="str">
        <f>IF(OR(ISERROR(SEARCH("recipiente",A1191))=FALSE, ISERROR(SEARCH("serbatoio",A1191))=FALSE, ISERROR(SEARCH("scambiatore",A1191))=FALSE),
    IF(D1191*E1191&gt;3000,"IV",
        IF(D1191*E1191&gt;1000,"III",
            IF(D1191*E1191&gt;200,"II",
                IF(D1191*E1191&gt;50,"I","")
            )
        )
    ),
    IF(ISERROR(SEARCH("valvola di sicurezza",A1191))=FALSE,"IV","")
)</f>
        <v/>
      </c>
    </row>
  </sheetData>
  <dataValidations count="2">
    <dataValidation type="list" allowBlank="1" showInputMessage="1" showErrorMessage="1" sqref="A2:A1191" xr:uid="{5FC29642-0C64-402C-8EC3-8FF987CC412C}">
      <formula1>IntTipo</formula1>
    </dataValidation>
    <dataValidation type="list" errorStyle="warning" allowBlank="1" showInputMessage="1" showErrorMessage="1" sqref="B2:B1191" xr:uid="{3D5DD401-30B2-4573-84CB-A1C10366797F}">
      <formula1>IntCostruttori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70A6-16B8-4FAC-A12A-D7EE44B5236E}">
  <dimension ref="A1:B44"/>
  <sheetViews>
    <sheetView tabSelected="1" workbookViewId="0">
      <selection activeCell="G10" sqref="G10"/>
    </sheetView>
  </sheetViews>
  <sheetFormatPr defaultRowHeight="14.4" x14ac:dyDescent="0.3"/>
  <cols>
    <col min="1" max="1" width="34.5546875" bestFit="1" customWidth="1"/>
    <col min="2" max="2" width="44.5546875" bestFit="1" customWidth="1"/>
  </cols>
  <sheetData>
    <row r="1" spans="1:2" x14ac:dyDescent="0.3">
      <c r="A1" s="11" t="s">
        <v>1020</v>
      </c>
      <c r="B1" s="11" t="s">
        <v>1019</v>
      </c>
    </row>
    <row r="2" spans="1:2" x14ac:dyDescent="0.3">
      <c r="A2" t="str" cm="1">
        <f t="array" ref="A2:A13">_xlfn.UNIQUE(TabModelli[TIPO])</f>
        <v>Serbatoio aria verticale</v>
      </c>
      <c r="B2" t="str" cm="1">
        <f t="array" ref="B2:B44">_xlfn.UNIQUE(TabModelli[MARCA],FALSE)</f>
        <v>A.ARIA C S.r.l. (ABAC)</v>
      </c>
    </row>
    <row r="3" spans="1:2" x14ac:dyDescent="0.3">
      <c r="A3" t="str">
        <v>Serbatoio disoleatore</v>
      </c>
      <c r="B3" t="str">
        <v>A.S.T.R.A. REFRIGERANTI S.R.L.</v>
      </c>
    </row>
    <row r="4" spans="1:2" x14ac:dyDescent="0.3">
      <c r="A4" t="str">
        <v>Compressore</v>
      </c>
      <c r="B4" t="str">
        <v>AIR COM S.r.l.</v>
      </c>
    </row>
    <row r="5" spans="1:2" x14ac:dyDescent="0.3">
      <c r="A5" t="str">
        <v>Serbatoio aria orizzontale</v>
      </c>
      <c r="B5" t="str">
        <v>AIR TEK srl</v>
      </c>
    </row>
    <row r="6" spans="1:2" x14ac:dyDescent="0.3">
      <c r="A6" t="str">
        <v>Valvola di sicurezza</v>
      </c>
      <c r="B6" t="str">
        <v xml:space="preserve">AIRTEAMS - AIR.COMP </v>
      </c>
    </row>
    <row r="7" spans="1:2" x14ac:dyDescent="0.3">
      <c r="A7" t="str">
        <v>Separatore di condense</v>
      </c>
      <c r="B7" t="str">
        <v>ALUP KOMPRESSOREN</v>
      </c>
    </row>
    <row r="8" spans="1:2" x14ac:dyDescent="0.3">
      <c r="A8" t="str">
        <v>Essiccatore frigorifero</v>
      </c>
      <c r="B8" t="str">
        <v>ARMATUREN- UND METALLWERKE ZÖBLITZ GMBH</v>
      </c>
    </row>
    <row r="9" spans="1:2" x14ac:dyDescent="0.3">
      <c r="A9" t="str">
        <v>Compressore con essiccatore integrato</v>
      </c>
      <c r="B9" t="str">
        <v>ATLAS COPCO AIRPOWER N.V.</v>
      </c>
    </row>
    <row r="10" spans="1:2" x14ac:dyDescent="0.3">
      <c r="A10" t="str">
        <v>Compressore alta pressione - Booster</v>
      </c>
      <c r="B10" t="str">
        <v>BEHALTER-WERK BURGAU GMBH</v>
      </c>
    </row>
    <row r="11" spans="1:2" x14ac:dyDescent="0.3">
      <c r="A11" t="str">
        <v>Filtro</v>
      </c>
      <c r="B11" t="str">
        <v>BEKO TECHNOLOGIES S.r.l.</v>
      </c>
    </row>
    <row r="12" spans="1:2" x14ac:dyDescent="0.3">
      <c r="A12" t="str">
        <v>Scambiatore di calore</v>
      </c>
      <c r="B12" t="str">
        <v>BOMECA srl</v>
      </c>
    </row>
    <row r="13" spans="1:2" x14ac:dyDescent="0.3">
      <c r="A13">
        <v>0</v>
      </c>
      <c r="B13" t="str">
        <v>BOTTARINI SPA</v>
      </c>
    </row>
    <row r="14" spans="1:2" x14ac:dyDescent="0.3">
      <c r="B14" t="str">
        <v>CECCATO ARIA COMPRESSA S.R.L.</v>
      </c>
    </row>
    <row r="15" spans="1:2" x14ac:dyDescent="0.3">
      <c r="B15" t="str">
        <v>CO.INOX S.r.l.</v>
      </c>
    </row>
    <row r="16" spans="1:2" x14ac:dyDescent="0.3">
      <c r="B16" t="str">
        <v>COMPAIR</v>
      </c>
    </row>
    <row r="17" spans="2:2" x14ac:dyDescent="0.3">
      <c r="B17" t="str">
        <v>CORDIVARI S.r.l.</v>
      </c>
    </row>
    <row r="18" spans="2:2" x14ac:dyDescent="0.3">
      <c r="B18" t="str">
        <v>CSC srl</v>
      </c>
    </row>
    <row r="19" spans="2:2" x14ac:dyDescent="0.3">
      <c r="B19" t="str">
        <v>EFEREST GmbH</v>
      </c>
    </row>
    <row r="20" spans="2:2" x14ac:dyDescent="0.3">
      <c r="B20" t="str">
        <v>ELBI S.p.A.</v>
      </c>
    </row>
    <row r="21" spans="2:2" x14ac:dyDescent="0.3">
      <c r="B21" t="str">
        <v>EURE SHANGHAI MACHINERY EQUIPMENT Co. Ltd.</v>
      </c>
    </row>
    <row r="22" spans="2:2" x14ac:dyDescent="0.3">
      <c r="B22" t="str">
        <v>FINI - FNA S.p.A.</v>
      </c>
    </row>
    <row r="23" spans="2:2" x14ac:dyDescent="0.3">
      <c r="B23" t="str">
        <v>FRIULAIR S.r.l.</v>
      </c>
    </row>
    <row r="24" spans="2:2" x14ac:dyDescent="0.3">
      <c r="B24" t="str">
        <v>HITEMA</v>
      </c>
    </row>
    <row r="25" spans="2:2" x14ac:dyDescent="0.3">
      <c r="B25" t="str">
        <v>INGERSOLL-RAND CO.LTD</v>
      </c>
    </row>
    <row r="26" spans="2:2" x14ac:dyDescent="0.3">
      <c r="B26" t="str">
        <v>KAESER KOMPRESSOREN SE</v>
      </c>
    </row>
    <row r="27" spans="2:2" x14ac:dyDescent="0.3">
      <c r="B27" t="str">
        <v>KTC s.r.l.</v>
      </c>
    </row>
    <row r="28" spans="2:2" x14ac:dyDescent="0.3">
      <c r="B28" t="str">
        <v>M.T.A S.P.A.</v>
      </c>
    </row>
    <row r="29" spans="2:2" x14ac:dyDescent="0.3">
      <c r="B29" t="str">
        <v>MANNESMANN DEMAG</v>
      </c>
    </row>
    <row r="30" spans="2:2" x14ac:dyDescent="0.3">
      <c r="B30" t="str">
        <v>NUOVA GENERAL INSTRUMENTS S.R.L.</v>
      </c>
    </row>
    <row r="31" spans="2:2" x14ac:dyDescent="0.3">
      <c r="B31" t="str">
        <v>PADOVAN VALERIO snc</v>
      </c>
    </row>
    <row r="32" spans="2:2" x14ac:dyDescent="0.3">
      <c r="B32" t="str">
        <v>PARISE COMPRESSORI SRL</v>
      </c>
    </row>
    <row r="33" spans="2:2" x14ac:dyDescent="0.3">
      <c r="B33" t="str">
        <v>POWER SYSTEM SRL</v>
      </c>
    </row>
    <row r="34" spans="2:2" x14ac:dyDescent="0.3">
      <c r="B34" t="str">
        <v>RAAL S.A.</v>
      </c>
    </row>
    <row r="35" spans="2:2" x14ac:dyDescent="0.3">
      <c r="B35" t="str">
        <v>S.E.A. S.p.A.</v>
      </c>
    </row>
    <row r="36" spans="2:2" x14ac:dyDescent="0.3">
      <c r="B36" t="str">
        <v>SIAP sas</v>
      </c>
    </row>
    <row r="37" spans="2:2" x14ac:dyDescent="0.3">
      <c r="B37" t="str">
        <v>SICC S.p.A.</v>
      </c>
    </row>
    <row r="38" spans="2:2" x14ac:dyDescent="0.3">
      <c r="B38" t="str">
        <v>SICC S.r.L.</v>
      </c>
    </row>
    <row r="39" spans="2:2" x14ac:dyDescent="0.3">
      <c r="B39" t="str">
        <v>SICC TECH s.r.l.</v>
      </c>
    </row>
    <row r="40" spans="2:2" x14ac:dyDescent="0.3">
      <c r="B40" t="str">
        <v>UNIVERSAL SRL</v>
      </c>
    </row>
    <row r="41" spans="2:2" x14ac:dyDescent="0.3">
      <c r="B41" t="str">
        <v>WORTHINGTON-CREYSSENSAC</v>
      </c>
    </row>
    <row r="42" spans="2:2" x14ac:dyDescent="0.3">
      <c r="B42" t="str">
        <v>ZANI s.r.l.</v>
      </c>
    </row>
    <row r="43" spans="2:2" x14ac:dyDescent="0.3">
      <c r="B43" t="str">
        <v>ZEIDLER &amp; UHL</v>
      </c>
    </row>
    <row r="44" spans="2:2" x14ac:dyDescent="0.3">
      <c r="B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Modelli</vt:lpstr>
      <vt:lpstr>Liste</vt:lpstr>
      <vt:lpstr>IntModelli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</dc:creator>
  <cp:lastModifiedBy>FB</cp:lastModifiedBy>
  <dcterms:created xsi:type="dcterms:W3CDTF">2025-11-07T16:10:37Z</dcterms:created>
  <dcterms:modified xsi:type="dcterms:W3CDTF">2025-11-13T13:17:35Z</dcterms:modified>
</cp:coreProperties>
</file>